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2e8539bf7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ADME" sheetId="1" r:id="Rea954084ac7b4e7a"/>
    <x:sheet xmlns:r="http://schemas.openxmlformats.org/officeDocument/2006/relationships" name="02_数据源清单" sheetId="2" r:id="R58aa9d7f0f8c4563"/>
    <x:sheet xmlns:r="http://schemas.openxmlformats.org/officeDocument/2006/relationships" name="03_模型数据映射" sheetId="3" r:id="Rb0c12a865bf04db9"/>
    <x:sheet xmlns:r="http://schemas.openxmlformats.org/officeDocument/2006/relationships" name="04_手机功耗参数" sheetId="4" r:id="R12ecd08238204897"/>
    <x:sheet xmlns:r="http://schemas.openxmlformats.org/officeDocument/2006/relationships" name="05_场景输入与功耗" sheetId="5" r:id="R08b9f1869b4c41a2"/>
    <x:sheet xmlns:r="http://schemas.openxmlformats.org/officeDocument/2006/relationships" name="06_TTE基准结果" sheetId="6" r:id="Rdab6eb52ed4f4933"/>
    <x:sheet xmlns:r="http://schemas.openxmlformats.org/officeDocument/2006/relationships" name="07_敏感性分析" sheetId="7" r:id="R319c71699c2f484f"/>
    <x:sheet xmlns:r="http://schemas.openxmlformats.org/officeDocument/2006/relationships" name="08_外部数据提取计划" sheetId="8" r:id="R87041f7f33b04003"/>
    <x:sheet xmlns:r="http://schemas.openxmlformats.org/officeDocument/2006/relationships" name="09_电池动态数据模板" sheetId="9" r:id="Rd68f7c0307214667"/>
    <x:sheet xmlns:r="http://schemas.openxmlformats.org/officeDocument/2006/relationships" name="10_2RC参数模板" sheetId="10" r:id="R83a8141246964eef"/>
    <x:sheet xmlns:r="http://schemas.openxmlformats.org/officeDocument/2006/relationships" name="11_SOH老化模板" sheetId="11" r:id="R1517b60a89564f4e"/>
    <x:sheet xmlns:r="http://schemas.openxmlformats.org/officeDocument/2006/relationships" name="12_Dashboard" sheetId="12" r:id="R24ddefcc8c80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"/>
    <x:numFmt numFmtId="202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d510151cf4a3d" /><Relationship Type="http://schemas.openxmlformats.org/officeDocument/2006/relationships/theme" Target="/xl/theme/theme1.xml" Id="R1d6dfe64701f487c" /><Relationship Type="http://schemas.openxmlformats.org/officeDocument/2006/relationships/sharedStrings" Target="/xl/sharedStrings.xml" Id="R7ca6e945e824440c" /><Relationship Type="http://schemas.openxmlformats.org/officeDocument/2006/relationships/worksheet" Target="/xl/worksheets/sheet1.xml" Id="Rea954084ac7b4e7a" /><Relationship Type="http://schemas.openxmlformats.org/officeDocument/2006/relationships/worksheet" Target="/xl/worksheets/sheet2.xml" Id="R58aa9d7f0f8c4563" /><Relationship Type="http://schemas.openxmlformats.org/officeDocument/2006/relationships/worksheet" Target="/xl/worksheets/sheet3.xml" Id="Rb0c12a865bf04db9" /><Relationship Type="http://schemas.openxmlformats.org/officeDocument/2006/relationships/worksheet" Target="/xl/worksheets/sheet4.xml" Id="R12ecd08238204897" /><Relationship Type="http://schemas.openxmlformats.org/officeDocument/2006/relationships/worksheet" Target="/xl/worksheets/sheet5.xml" Id="R08b9f1869b4c41a2" /><Relationship Type="http://schemas.openxmlformats.org/officeDocument/2006/relationships/worksheet" Target="/xl/worksheets/sheet6.xml" Id="Rdab6eb52ed4f4933" /><Relationship Type="http://schemas.openxmlformats.org/officeDocument/2006/relationships/worksheet" Target="/xl/worksheets/sheet7.xml" Id="R319c71699c2f484f" /><Relationship Type="http://schemas.openxmlformats.org/officeDocument/2006/relationships/worksheet" Target="/xl/worksheets/sheet8.xml" Id="R87041f7f33b04003" /><Relationship Type="http://schemas.openxmlformats.org/officeDocument/2006/relationships/worksheet" Target="/xl/worksheets/sheet9.xml" Id="Rd68f7c0307214667" /><Relationship Type="http://schemas.openxmlformats.org/officeDocument/2006/relationships/worksheet" Target="/xl/worksheets/sheet10.xml" Id="R83a8141246964eef" /><Relationship Type="http://schemas.openxmlformats.org/officeDocument/2006/relationships/worksheet" Target="/xl/worksheets/sheet11.xml" Id="R1517b60a89564f4e" /><Relationship Type="http://schemas.openxmlformats.org/officeDocument/2006/relationships/worksheet" Target="/xl/worksheets/sheet12.xml" Id="R24ddefcc8c8044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46a64136bc4ac8" /><Relationship Type="http://schemas.openxmlformats.org/officeDocument/2006/relationships/chart" Target="/xl/drawings/charts/chart2.xml" Id="Rc5e9984cb23e4b5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P_total_W</c:v>
          </c:tx>
          <c:cat>
            <c:strRef>
              <c:f>'12_Dashboard'!$F$4:$F$10</c:f>
              <c:strCache>
                <c:ptCount val="0"/>
              </c:strCache>
            </c:strRef>
          </c:cat>
          <c:val>
            <c:numRef>
              <c:f>'12_Dashboard'!$G$4:$G$10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TTE_h</c:v>
          </c:tx>
          <c:cat>
            <c:strRef>
              <c:f>'12_Dashboard'!$F$4:$F$10</c:f>
              <c:strCache>
                <c:ptCount val="0"/>
              </c:strCache>
            </c:strRef>
          </c:cat>
          <c:val>
            <c:numRef>
              <c:f>'12_Dashboard'!$H$4:$H$10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46a64136bc4ac8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e9984cb23e4b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atalog" displayName="SourceCatalog" ref="A3:H11" headerRowCount="1">
  <x:tableColumns count="8">
    <x:tableColumn id="1" name="数据源"/>
    <x:tableColumn id="2" name="类型"/>
    <x:tableColumn id="3" name="可支持的模型模块"/>
    <x:tableColumn id="4" name="核心字段/内容"/>
    <x:tableColumn id="5" name="优先级"/>
    <x:tableColumn id="6" name="是否已在本文件中整理"/>
    <x:tableColumn id="7" name="官方/主要URL"/>
    <x:tableColumn id="8" name="使用说明"/>
  </x:tableColumns>
  <x:tableStyleInfo name="TableStyleMedium2" showRowStripes="1"/>
</x:table>
</file>

<file path=xl/tables/table2.xml><?xml version="1.0" encoding="utf-8"?>
<x:table xmlns:x="http://schemas.openxmlformats.org/spreadsheetml/2006/main" id="2" name="ModelDataMap" displayName="ModelDataMap" ref="A3:G11" headerRowCount="1">
  <x:tableColumns count="7">
    <x:tableColumn id="1" name="模型层"/>
    <x:tableColumn id="2" name="关键变量/参数"/>
    <x:tableColumn id="3" name="必须数据"/>
    <x:tableColumn id="4" name="当前已有数据"/>
    <x:tableColumn id="5" name="缺口"/>
    <x:tableColumn id="6" name="推荐来源"/>
    <x:tableColumn id="7" name="论文中建议写法"/>
  </x:tableColumns>
  <x:tableStyleInfo name="TableStyleMedium2" showRowStripes="1"/>
</x:table>
</file>

<file path=xl/tables/table3.xml><?xml version="1.0" encoding="utf-8"?>
<x:table xmlns:x="http://schemas.openxmlformats.org/spreadsheetml/2006/main" id="3" name="PowerProfile" displayName="PowerProfile" ref="A3:J34" headerRowCount="1">
  <x:tableColumns count="10">
    <x:tableColumn id="1" name="Group"/>
    <x:tableColumn id="2" name="Parameter"/>
    <x:tableColumn id="3" name="Description"/>
    <x:tableColumn id="4" name="Current_mA_or_Capacity_mAh"/>
    <x:tableColumn id="5" name="Voltage_V"/>
    <x:tableColumn id="6" name="Power_W"/>
    <x:tableColumn id="7" name="Model_mapping"/>
    <x:tableColumn id="8" name="Source_URL"/>
    <x:tableColumn id="9" name="Source_lines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enarioModel" displayName="ScenarioModel" ref="A3:AC10" headerRowCount="1">
  <x:tableColumns count="29">
    <x:tableColumn id="1" name="Scenario"/>
    <x:tableColumn id="2" name="Category_basis"/>
    <x:tableColumn id="3" name="Screen_on"/>
    <x:tableColumn id="4" name="Brightness_0_1"/>
    <x:tableColumn id="5" name="CPU_load_0_1"/>
    <x:tableColumn id="6" name="WiFi_idle_flag"/>
    <x:tableColumn id="7" name="WiFi_RX_duty"/>
    <x:tableColumn id="8" name="WiFi_TX_duty"/>
    <x:tableColumn id="9" name="Modem_idle_flag"/>
    <x:tableColumn id="10" name="Modem_RX_duty"/>
    <x:tableColumn id="11" name="Modem_TX_low_duty"/>
    <x:tableColumn id="12" name="Modem_TX_high_duty"/>
    <x:tableColumn id="13" name="GPS_flag"/>
    <x:tableColumn id="14" name="GPS_quality"/>
    <x:tableColumn id="15" name="Video_flag"/>
    <x:tableColumn id="16" name="Audio_factor"/>
    <x:tableColumn id="17" name="Background_power_W"/>
    <x:tableColumn id="18" name="Temperature_factor"/>
    <x:tableColumn id="19" name="Aging_factor"/>
    <x:tableColumn id="20" name="P_screen_W"/>
    <x:tableColumn id="21" name="P_cpu_W"/>
    <x:tableColumn id="22" name="P_wifi_W"/>
    <x:tableColumn id="23" name="P_modem_W"/>
    <x:tableColumn id="24" name="P_gps_W"/>
    <x:tableColumn id="25" name="P_media_W"/>
    <x:tableColumn id="26" name="P_background_W"/>
    <x:tableColumn id="27" name="P_total_W"/>
    <x:tableColumn id="28" name="E_effective_Wh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TEBase" displayName="TTEBase" ref="A3:G31" headerRowCount="1">
  <x:tableColumns count="7">
    <x:tableColumn id="1" name="Scenario"/>
    <x:tableColumn id="2" name="Initial_SOC"/>
    <x:tableColumn id="3" name="Shutdown_SOC"/>
    <x:tableColumn id="4" name="E_effective_Wh"/>
    <x:tableColumn id="5" name="P_total_W"/>
    <x:tableColumn id="6" name="Time_to_empty_hours"/>
    <x:tableColumn id="7" name="Time_to_empty_minutes"/>
  </x:tableColumns>
  <x:tableStyleInfo name="TableStyleMedium2" showRowStripes="1"/>
</x:table>
</file>

<file path=xl/tables/table6.xml><?xml version="1.0" encoding="utf-8"?>
<x:table xmlns:x="http://schemas.openxmlformats.org/spreadsheetml/2006/main" id="6" name="Sensitivity" displayName="Sensitivity" ref="A3:G11" headerRowCount="1">
  <x:tableColumns count="7">
    <x:tableColumn id="1" name="Parameter_or_component"/>
    <x:tableColumn id="2" name="Base_value_W_or_Wh"/>
    <x:tableColumn id="3" name="Base_TTE_hours_at_100pct"/>
    <x:tableColumn id="4" name="TTE_if_minus10pct"/>
    <x:tableColumn id="5" name="TTE_if_plus10pct"/>
    <x:tableColumn id="6" name="Pct_change_TTE_plus10pct"/>
    <x:tableColumn id="7" name="Pct_change_TTE_minus10pct"/>
  </x:tableColumns>
  <x:tableStyleInfo name="TableStyleMedium2" showRowStripes="1"/>
</x:table>
</file>

<file path=xl/tables/table7.xml><?xml version="1.0" encoding="utf-8"?>
<x:table xmlns:x="http://schemas.openxmlformats.org/spreadsheetml/2006/main" id="7" name="ExtractionPlan" displayName="ExtractionPlan" ref="A3:F8" headerRowCount="1">
  <x:tableColumns count="6">
    <x:tableColumn id="1" name="数据源"/>
    <x:tableColumn id="2" name="建议下载/提取对象"/>
    <x:tableColumn id="3" name="核心字段"/>
    <x:tableColumn id="4" name="整理后目标Sheet"/>
    <x:tableColumn id="5" name="用于拟合/验证"/>
    <x:tableColumn id="6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BatteryDynamicTemplate" displayName="BatteryDynamicTemplate" ref="A3:N6" headerRowCount="1">
  <x:tableColumns count="14">
    <x:tableColumn id="1" name="source_dataset"/>
    <x:tableColumn id="2" name="cell_id"/>
    <x:tableColumn id="3" name="cycle_id"/>
    <x:tableColumn id="4" name="operation_type"/>
    <x:tableColumn id="5" name="time_s"/>
    <x:tableColumn id="6" name="current_A"/>
    <x:tableColumn id="7" name="voltage_V"/>
    <x:tableColumn id="8" name="temperature_C"/>
    <x:tableColumn id="9" name="ambient_temp_C"/>
    <x:tableColumn id="10" name="capacity_Ah"/>
    <x:tableColumn id="11" name="SOC_reference"/>
    <x:tableColumn id="12" name="SOC_coulomb_counting"/>
    <x:tableColumn id="13" name="power_W"/>
    <x:tableColumn id="14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woRCParams" displayName="TwoRCParams" ref="A3:G11" headerRowCount="1">
  <x:tableColumns count="7">
    <x:tableColumn id="1" name="参数"/>
    <x:tableColumn id="2" name="符号"/>
    <x:tableColumn id="3" name="单位"/>
    <x:tableColumn id="4" name="取值/公式"/>
    <x:tableColumn id="5" name="来源数据"/>
    <x:tableColumn id="6" name="用途"/>
    <x:tableColumn id="7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SOHTemplate" displayName="SOHTemplate" ref="A3:K6" headerRowCount="1">
  <x:tableColumns count="11">
    <x:tableColumn id="1" name="source_dataset"/>
    <x:tableColumn id="2" name="cell_id"/>
    <x:tableColumn id="3" name="cycle_index"/>
    <x:tableColumn id="4" name="capacity_Ah"/>
    <x:tableColumn id="5" name="nominal_capacity_Ah"/>
    <x:tableColumn id="6" name="SOH"/>
    <x:tableColumn id="7" name="temperature_C"/>
    <x:tableColumn id="8" name="C_rate"/>
    <x:tableColumn id="9" name="SOC_min"/>
    <x:tableColumn id="10" name="SOC_max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03e3968d4e42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90d05b6cd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4f785d9f994f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f2292d6cbe41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4d54cbea4143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45e55e625540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1c788376fd4d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0444e9f52a436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ca1679b7c24f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571aabd5c04c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10613c47523b451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28" customHeight="1">
      <x:c r="A1" s="6" t="str">
        <x:v>数据整理说明</x:v>
      </x:c>
    </x:row>
    <x:row r="3">
      <x:c r="A3" s="16" t="str">
        <x:v>项目</x:v>
      </x:c>
      <x:c r="B3" s="16" t="str">
        <x:v>智能手机电池耗电连续时间模型数据整理包</x:v>
      </x:c>
    </x:row>
    <x:row r="4">
      <x:c r="A4" s="22" t="str">
        <x:v>生成时间</x:v>
      </x:c>
      <x:c r="B4" s="22" t="str">
        <x:v>2026-06-17 13:52</x:v>
      </x:c>
    </x:row>
    <x:row r="5">
      <x:c r="A5" s="22" t="str">
        <x:v>用途</x:v>
      </x:c>
      <x:c r="B5" s="22" t="str">
        <x:v>支撑 Brightness/CPU/GPU/Network/GPS 功耗模型、SOC/TTE 基准预测、Thevenin 2RC/热/SOH 扩展建模的数据准备。</x:v>
      </x:c>
    </x:row>
    <x:row r="6">
      <x:c r="A6" s="22" t="str">
        <x:v>当前已整理数据</x:v>
      </x:c>
      <x:c r="B6" s="22" t="str">
        <x:v>手机功耗参数、场景输入与分项功耗、不同初始 SOC 的 TTE、敏感性分析、外部公开数据源清单、模型-数据映射、后续数据提取模板。</x:v>
      </x:c>
    </x:row>
    <x:row r="7">
      <x:c r="A7" s="22" t="str">
        <x:v>使用建议</x:v>
      </x:c>
      <x:c r="B7" s="22" t="str">
        <x:v>手机功耗和场景表可直接用于功耗模型与基准 TTE；Thevenin 2RC、热模型、SOH 模型需要从 NASA/CALCE/TU Berlin/Oxford 等公开锂电池数据中提取电压、电流、温度、OCV、阻抗、循环容量等字段。</x:v>
      </x:c>
    </x:row>
    <x:row r="8">
      <x:c r="A8" s="22" t="str">
        <x:v>注意</x:v>
      </x:c>
      <x:c r="B8" s="22" t="str">
        <x:v>当前外部大体量原始数据未直接下载打包；本文件整理了官方入口、应提取字段、可用性判断和建模用途。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6" hidden="0" customWidth="1"/>
    <x:col min="5" max="5" width="10" hidden="0" customWidth="1"/>
    <x:col min="6" max="6" width="18" hidden="0" customWidth="1"/>
    <x:col min="7" max="7" width="65" hidden="0" customWidth="1"/>
    <x:col min="8" max="8" width="48" hidden="0" customWidth="1"/>
  </x:cols>
  <x:sheetData>
    <x:row r="1" ht="28" customHeight="1">
      <x:c r="A1" s="6" t="str">
        <x:v>公开数据源与用途清单</x:v>
      </x:c>
    </x:row>
    <x:row r="3">
      <x:c r="A3" s="16" t="str">
        <x:v>数据源</x:v>
      </x:c>
      <x:c r="B3" s="16" t="str">
        <x:v>类型</x:v>
      </x:c>
      <x:c r="C3" s="16" t="str">
        <x:v>可支持的模型模块</x:v>
      </x:c>
      <x:c r="D3" s="16" t="str">
        <x:v>核心字段/内容</x:v>
      </x:c>
      <x:c r="E3" s="16" t="str">
        <x:v>优先级</x:v>
      </x:c>
      <x:c r="F3" s="16" t="str">
        <x:v>是否已在本文件中整理</x:v>
      </x:c>
      <x:c r="G3" s="16" t="str">
        <x:v>官方/主要URL</x:v>
      </x:c>
      <x:c r="H3" s="16" t="str">
        <x:v>使用说明</x:v>
      </x:c>
    </x:row>
    <x:row r="4">
      <x:c r="A4" s="22" t="str">
        <x:v>Android Power Profile</x:v>
      </x:c>
      <x:c r="B4" s="22" t="str">
        <x:v>手机组件功耗参数</x:v>
      </x:c>
      <x:c r="C4" s="22" t="str">
        <x:v>功耗模型 P_screen/P_CPU/P_WiFi/P_modem/P_GPS</x:v>
      </x:c>
      <x:c r="D4" s="22" t="str">
        <x:v>组件电流mA、功耗状态、screen/cpu/wifi/radio/gps/audio等</x:v>
      </x:c>
      <x:c r="E4" s="22" t="str">
        <x:v>高</x:v>
      </x:c>
      <x:c r="F4" s="22" t="str">
        <x:v>已整理为手机功耗参数表</x:v>
      </x:c>
      <x:c r="G4" s="22" t="str">
        <x:v>https://source.android.com/docs/core/power</x:v>
      </x:c>
      <x:c r="H4" s="22" t="str">
        <x:v>用于将手机硬件组件状态映射为功率输入；可结合具体机型 power_profile.xml。</x:v>
      </x:c>
    </x:row>
    <x:row r="5">
      <x:c r="A5" s="22" t="str">
        <x:v>AOSP Power values</x:v>
      </x:c>
      <x:c r="B5" s="22" t="str">
        <x:v>Android功耗字段说明</x:v>
      </x:c>
      <x:c r="C5" s="22" t="str">
        <x:v>功耗模型参数解释</x:v>
      </x:c>
      <x:c r="D5" s="22" t="str">
        <x:v>power_profile.xml 中可用字段说明</x:v>
      </x:c>
      <x:c r="E5" s="22" t="str">
        <x:v>高</x:v>
      </x:c>
      <x:c r="F5" s="22" t="str">
        <x:v>作为字段解释与来源</x:v>
      </x:c>
      <x:c r="G5" s="22" t="str">
        <x:v>https://source.android.com/docs/core/power/values</x:v>
      </x:c>
      <x:c r="H5" s="22" t="str">
        <x:v>用于解释电流/功耗字段含义。</x:v>
      </x:c>
    </x:row>
    <x:row r="6">
      <x:c r="A6" s="22" t="str">
        <x:v>Battery Historian / Batterystats</x:v>
      </x:c>
      <x:c r="B6" s="22" t="str">
        <x:v>手机行为日志工具</x:v>
      </x:c>
      <x:c r="C6" s="22" t="str">
        <x:v>用户行为层 b(t), u_c(t), r(t), g(t), a_bg(t)</x:v>
      </x:c>
      <x:c r="D6" s="22" t="str">
        <x:v>屏幕、CPU、网络、定位、wakelock、应用后台活动</x:v>
      </x:c>
      <x:c r="E6" s="22" t="str">
        <x:v>中</x:v>
      </x:c>
      <x:c r="F6" s="22" t="str">
        <x:v>未导入原始日志；提供提取模板</x:v>
      </x:c>
      <x:c r="G6" s="22" t="str">
        <x:v>https://developer.android.com/topic/performance/power/setup-battery-historian</x:v>
      </x:c>
      <x:c r="H6" s="22" t="str">
        <x:v>若有Android设备，可导出bugreport并用Battery Historian获得行为日志。</x:v>
      </x:c>
    </x:row>
    <x:row r="7">
      <x:c r="A7" s="22" t="str">
        <x:v>NASA Li-ion Battery Aging Dataset</x:v>
      </x:c>
      <x:c r="B7" s="22" t="str">
        <x:v>锂电池动态与老化实验数据</x:v>
      </x:c>
      <x:c r="C7" s="22" t="str">
        <x:v>SOC、端电压、热模型、SOH、TTE</x:v>
      </x:c>
      <x:c r="D7" s="22" t="str">
        <x:v>time, voltage, current, temperature, capacity, impedance, cycle</x:v>
      </x:c>
      <x:c r="E7" s="22" t="str">
        <x:v>高</x:v>
      </x:c>
      <x:c r="F7" s="22" t="str">
        <x:v>列入外部数据源；需单独下载处理</x:v>
      </x:c>
      <x:c r="G7" s="22" t="str">
        <x:v>https://data.nasa.gov/dataset/li-ion-battery-aging-datasets</x:v>
      </x:c>
      <x:c r="H7" s="22" t="str">
        <x:v>适合验证 V_t(t)、I(t)、T(t)、容量衰减与截止电压时间。</x:v>
      </x:c>
    </x:row>
    <x:row r="8">
      <x:c r="A8" s="22" t="str">
        <x:v>CALCE Battery Data</x:v>
      </x:c>
      <x:c r="B8" s="22" t="str">
        <x:v>锂电池OCV/阻抗/动态工况数据</x:v>
      </x:c>
      <x:c r="C8" s="22" t="str">
        <x:v>Thevenin 2RC、OCV-SOC、SOH</x:v>
      </x:c>
      <x:c r="D8" s="22" t="str">
        <x:v>OCV, impedance, cycling, storage, dynamic profiles</x:v>
      </x:c>
      <x:c r="E8" s="22" t="str">
        <x:v>高</x:v>
      </x:c>
      <x:c r="F8" s="22" t="str">
        <x:v>列入外部数据源；需单独下载处理</x:v>
      </x:c>
      <x:c r="G8" s="22" t="str">
        <x:v>https://calce.umd.edu/battery-data</x:v>
      </x:c>
      <x:c r="H8" s="22" t="str">
        <x:v>适合拟合 U_oc(z)、R0、R1、C1、R2、C2。</x:v>
      </x:c>
    </x:row>
    <x:row r="9">
      <x:c r="A9" s="22" t="str">
        <x:v>TU Berlin Li-ion Battery Drive Cycle Dataset</x:v>
      </x:c>
      <x:c r="B9" s="22" t="str">
        <x:v>多温度动态循环SOC数据</x:v>
      </x:c>
      <x:c r="C9" s="22" t="str">
        <x:v>温度修正 f_T(T)、SOC验证</x:v>
      </x:c>
      <x:c r="D9" s="22" t="str">
        <x:v>12种drive cycle、5种环境温度、reference SOC</x:v>
      </x:c>
      <x:c r="E9" s="22" t="str">
        <x:v>中高</x:v>
      </x:c>
      <x:c r="F9" s="22" t="str">
        <x:v>列入外部数据源；需单独下载处理</x:v>
      </x:c>
      <x:c r="G9" s="22" t="str">
        <x:v>https://depositonce.tu-berlin.de/items/7f68932b-4d43-4f49-a5d8-914b00039f87</x:v>
      </x:c>
      <x:c r="H9" s="22" t="str">
        <x:v>适合说明不同环境温度下SOC估计与容量可用性变化。</x:v>
      </x:c>
    </x:row>
    <x:row r="10">
      <x:c r="A10" s="22" t="str">
        <x:v>Oxford Battery Degradation Dataset</x:v>
      </x:c>
      <x:c r="B10" s="22" t="str">
        <x:v>长期循环老化数据</x:v>
      </x:c>
      <x:c r="C10" s="22" t="str">
        <x:v>SOH老化模型</x:v>
      </x:c>
      <x:c r="D10" s="22" t="str">
        <x:v>8个锂离子电池长期循环容量衰减</x:v>
      </x:c>
      <x:c r="E10" s="22" t="str">
        <x:v>中</x:v>
      </x:c>
      <x:c r="F10" s="22" t="str">
        <x:v>列入外部数据源；需单独下载处理</x:v>
      </x:c>
      <x:c r="G10" s="22" t="str">
        <x:v>https://ora.ox.ac.uk/objects/uuid:03ba4b01-cfed-46d3-9b1a-7d4a7bdf6fac</x:v>
      </x:c>
      <x:c r="H10" s="22" t="str">
        <x:v>适合拟合或验证 SOH(t) 和容量衰减趋势。</x:v>
      </x:c>
    </x:row>
    <x:row r="11">
      <x:c r="A11" s="22" t="str">
        <x:v>MIT-Stanford-Toyota Cycle Life Dataset</x:v>
      </x:c>
      <x:c r="B11" s="22" t="str">
        <x:v>大规模循环寿命数据</x:v>
      </x:c>
      <x:c r="C11" s="22" t="str">
        <x:v>SOH/RUL趋势分析</x:v>
      </x:c>
      <x:c r="D11" s="22" t="str">
        <x:v>124个商用LFP/石墨电池，快充工况，循环寿命范围</x:v>
      </x:c>
      <x:c r="E11" s="22" t="str">
        <x:v>中</x:v>
      </x:c>
      <x:c r="F11" s="22" t="str">
        <x:v>列入外部数据源；需单独下载处理</x:v>
      </x:c>
      <x:c r="G11" s="22" t="str">
        <x:v>https://web.mit.edu/braatzgroup/Severson_NatureEnergy_2019.pdf</x:v>
      </x:c>
      <x:c r="H11" s="22" t="str">
        <x:v>适合做SOH/RUL补充分析；不必作为主数据。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d03e3968d4e42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8" hidden="0" customWidth="1"/>
    <x:col min="4" max="4" width="38" hidden="0" customWidth="1"/>
    <x:col min="5" max="5" width="28" hidden="0" customWidth="1"/>
    <x:col min="6" max="6" width="28" hidden="0" customWidth="1"/>
    <x:col min="7" max="7" width="50" hidden="0" customWidth="1"/>
  </x:cols>
  <x:sheetData>
    <x:row r="1" ht="28" customHeight="1">
      <x:c r="A1" s="6" t="str">
        <x:v>模型模块—所需数据—当前可用性映射</x:v>
      </x:c>
    </x:row>
    <x:row r="3">
      <x:c r="A3" s="16" t="str">
        <x:v>模型层</x:v>
      </x:c>
      <x:c r="B3" s="16" t="str">
        <x:v>关键变量/参数</x:v>
      </x:c>
      <x:c r="C3" s="16" t="str">
        <x:v>必须数据</x:v>
      </x:c>
      <x:c r="D3" s="16" t="str">
        <x:v>当前已有数据</x:v>
      </x:c>
      <x:c r="E3" s="16" t="str">
        <x:v>缺口</x:v>
      </x:c>
      <x:c r="F3" s="16" t="str">
        <x:v>推荐来源</x:v>
      </x:c>
      <x:c r="G3" s="16" t="str">
        <x:v>论文中建议写法</x:v>
      </x:c>
    </x:row>
    <x:row r="4">
      <x:c r="A4" s="22" t="str">
        <x:v>用户行为层</x:v>
      </x:c>
      <x:c r="B4" s="22" t="str">
        <x:v>b(t), u_c(t), u_g(t), r(t), s(t), g(t), a_bg(t)</x:v>
      </x:c>
      <x:c r="C4" s="22" t="str">
        <x:v>亮度、CPU/GPU负载、网络流量、信号质量、GPS、后台任务</x:v>
      </x:c>
      <x:c r="D4" s="22" t="str">
        <x:v>Scenario表已有亮度、CPU、WiFi/Modem、GPS、后台功耗；GPU未单独给出</x:v>
      </x:c>
      <x:c r="E4" s="22" t="str">
        <x:v>缺独立GPU负载；弱信号可用Modem TX high近似</x:v>
      </x:c>
      <x:c r="F4" s="22" t="str">
        <x:v>Android Batterystats / Power Profile</x:v>
      </x:c>
      <x:c r="G4" s="22" t="str">
        <x:v>将GPU并入media/graphics功耗，或设置为场景参数。</x:v>
      </x:c>
    </x:row>
    <x:row r="5">
      <x:c r="A5" s="22" t="str">
        <x:v>负载功耗模型</x:v>
      </x:c>
      <x:c r="B5" s="22" t="str">
        <x:v>P_load, P_screen, P_CPU, P_net, P_GPS, P_bg</x:v>
      </x:c>
      <x:c r="C5" s="22" t="str">
        <x:v>各模块功率或电流参数</x:v>
      </x:c>
      <x:c r="D5" s="22" t="str">
        <x:v>Power_Profile和Scenario表已有</x:v>
      </x:c>
      <x:c r="E5" s="22" t="str">
        <x:v>基本够用</x:v>
      </x:c>
      <x:c r="F5" s="22" t="str">
        <x:v>Android Power Profile</x:v>
      </x:c>
      <x:c r="G5" s="22" t="str">
        <x:v>可直接作为模型参数与场景化功耗输入。</x:v>
      </x:c>
    </x:row>
    <x:row r="6">
      <x:c r="A6" s="22" t="str">
        <x:v>功耗-电流耦合</x:v>
      </x:c>
      <x:c r="B6" s="22" t="str">
        <x:v>P=I V_t, I(t)</x:v>
      </x:c>
      <x:c r="C6" s="22" t="str">
        <x:v>电压、电流、功率时间序列</x:v>
      </x:c>
      <x:c r="D6" s="22" t="str">
        <x:v>当前只有功率；无手机级I/V时间序列</x:v>
      </x:c>
      <x:c r="E6" s="22" t="str">
        <x:v>缺I(t), V_t(t)</x:v>
      </x:c>
      <x:c r="F6" s="22" t="str">
        <x:v>NASA/CALCE</x:v>
      </x:c>
      <x:c r="G6" s="22" t="str">
        <x:v>用电池公开数据验证电流-电压关系，手机侧用功率驱动。</x:v>
      </x:c>
    </x:row>
    <x:row r="7">
      <x:c r="A7" s="22" t="str">
        <x:v>Thevenin 2RC</x:v>
      </x:c>
      <x:c r="B7" s="22" t="str">
        <x:v>U_oc(z), R0, R1, C1, R2, C2, V1, V2</x:v>
      </x:c>
      <x:c r="C7" s="22" t="str">
        <x:v>OCV-SOC、脉冲/动态电流、电压响应、阻抗</x:v>
      </x:c>
      <x:c r="D7" s="22" t="str">
        <x:v>当前没有</x:v>
      </x:c>
      <x:c r="E7" s="22" t="str">
        <x:v>缺完整2RC参数</x:v>
      </x:c>
      <x:c r="F7" s="22" t="str">
        <x:v>CALCE Battery Data</x:v>
      </x:c>
      <x:c r="G7" s="22" t="str">
        <x:v>用公开OCV/阻抗/动态工况拟合2RC参数。</x:v>
      </x:c>
    </x:row>
    <x:row r="8">
      <x:c r="A8" s="22" t="str">
        <x:v>SOC模型</x:v>
      </x:c>
      <x:c r="B8" s="22" t="str">
        <x:v>z(t), Q_eff, SOH, f_T</x:v>
      </x:c>
      <x:c r="C8" s="22" t="str">
        <x:v>SOC/容量、电流、电压、时间</x:v>
      </x:c>
      <x:c r="D8" s="22" t="str">
        <x:v>TTE表可支持基准SOC模型；缺实测SOC曲线</x:v>
      </x:c>
      <x:c r="E8" s="22" t="str">
        <x:v>需要实测SOC/容量曲线</x:v>
      </x:c>
      <x:c r="F8" s="22" t="str">
        <x:v>NASA/TU Berlin</x:v>
      </x:c>
      <x:c r="G8" s="22" t="str">
        <x:v>基准模型用能量守恒；增强模型用公开锂电池数据验证。</x:v>
      </x:c>
    </x:row>
    <x:row r="9">
      <x:c r="A9" s="22" t="str">
        <x:v>热模型</x:v>
      </x:c>
      <x:c r="B9" s="22" t="str">
        <x:v>T(t), T_env, C_th, h</x:v>
      </x:c>
      <x:c r="C9" s="22" t="str">
        <x:v>电池温度、环境温度、电流、内阻</x:v>
      </x:c>
      <x:c r="D9" s="22" t="str">
        <x:v>当前没有温度时间序列</x:v>
      </x:c>
      <x:c r="E9" s="22" t="str">
        <x:v>缺T(t), T_env, C_th, h</x:v>
      </x:c>
      <x:c r="F9" s="22" t="str">
        <x:v>NASA/TU Berlin</x:v>
      </x:c>
      <x:c r="G9" s="22" t="str">
        <x:v>用高负载仿真和公开温度曲线验证热趋势。</x:v>
      </x:c>
    </x:row>
    <x:row r="10">
      <x:c r="A10" s="22" t="str">
        <x:v>SOH老化模型</x:v>
      </x:c>
      <x:c r="B10" s="22" t="str">
        <x:v>SOH(t), Q_loss, cycle, capacity</x:v>
      </x:c>
      <x:c r="C10" s="22" t="str">
        <x:v>循环次数、容量衰减、温度/倍率历史</x:v>
      </x:c>
      <x:c r="D10" s="22" t="str">
        <x:v>有cold aged情景但非动态老化数据</x:v>
      </x:c>
      <x:c r="E10" s="22" t="str">
        <x:v>缺长期循环容量衰减</x:v>
      </x:c>
      <x:c r="F10" s="22" t="str">
        <x:v>NASA/Oxford/MIT-Stanford</x:v>
      </x:c>
      <x:c r="G10" s="22" t="str">
        <x:v>短期TTE把SOH设为参数；长期分析引用老化数据。</x:v>
      </x:c>
    </x:row>
    <x:row r="11">
      <x:c r="A11" s="22" t="str">
        <x:v>TTE预测</x:v>
      </x:c>
      <x:c r="B11" s="22" t="str">
        <x:v>TTE, z_min, V_cut</x:v>
      </x:c>
      <x:c r="C11" s="22" t="str">
        <x:v>初始SOC、关机阈值、场景功率、真实/合理终止时间</x:v>
      </x:c>
      <x:c r="D11" s="22" t="str">
        <x:v>已有基准TTE结果</x:v>
      </x:c>
      <x:c r="E11" s="22" t="str">
        <x:v>缺独立实测TTE</x:v>
      </x:c>
      <x:c r="F11" s="22" t="str">
        <x:v>自建实验/NASA放电终止时间</x:v>
      </x:c>
      <x:c r="G11" s="22" t="str">
        <x:v>TTE表作为基准预测，不作为独立实测验证。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7d90d05b6cd4a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8" hidden="0" customWidth="1"/>
    <x:col min="5" max="5" width="12" hidden="0" customWidth="1"/>
    <x:col min="6" max="6" width="12" hidden="0" customWidth="1"/>
    <x:col min="7" max="7" width="32" hidden="0" customWidth="1"/>
    <x:col min="8" max="8" width="60" hidden="0" customWidth="1"/>
    <x:col min="9" max="9" width="14" hidden="0" customWidth="1"/>
    <x:col min="10" max="10" width="42" hidden="0" customWidth="1"/>
  </x:cols>
  <x:sheetData>
    <x:row r="1" ht="28" customHeight="1">
      <x:c r="A1" s="6" t="str">
        <x:v>手机组件功耗参数表（由已上传CSV整理）</x:v>
      </x:c>
      <x:c r="D1" s="26"/>
      <x:c r="E1" s="26"/>
      <x:c r="F1" s="26"/>
    </x:row>
    <x:row r="2">
      <x:c r="A2" s="24" t="str">
        <x:v>可直接用于 P_screen、P_CPU、P_WiFi、P_modem、P_GPS、P_media 等功耗分项。</x:v>
      </x:c>
    </x:row>
    <x:row r="3">
      <x:c r="A3" s="16" t="str">
        <x:v>Group</x:v>
      </x:c>
      <x:c r="B3" s="16" t="str">
        <x:v>Parameter</x:v>
      </x:c>
      <x:c r="C3" s="16" t="str">
        <x:v>Description</x:v>
      </x:c>
      <x:c r="D3" s="16" t="str">
        <x:v>Current_mA_or_Capacity_mAh</x:v>
      </x:c>
      <x:c r="E3" s="16" t="str">
        <x:v>Voltage_V</x:v>
      </x:c>
      <x:c r="F3" s="16" t="str">
        <x:v>Power_W</x:v>
      </x:c>
      <x:c r="G3" s="16" t="str">
        <x:v>Model_mapping</x:v>
      </x:c>
      <x:c r="H3" s="16" t="str">
        <x:v>Source_URL</x:v>
      </x:c>
      <x:c r="I3" s="16" t="str">
        <x:v>Source_lines</x:v>
      </x:c>
      <x:c r="J3" s="16" t="str">
        <x:v>Notes</x:v>
      </x:c>
    </x:row>
    <x:row r="4">
      <x:c r="A4" s="22" t="str">
        <x:v>Battery</x:v>
      </x:c>
      <x:c r="B4" s="22" t="str">
        <x:v>battery.capacity</x:v>
      </x:c>
      <x:c r="C4" s="22" t="str">
        <x:v>Pixel XL nominal battery capacity</x:v>
      </x:c>
      <x:c r="D4" s="22" t="n">
        <x:v>3450</x:v>
      </x:c>
      <x:c r="E4" s="22"/>
      <x:c r="F4" s="22"/>
      <x:c r="G4" s="22" t="str">
        <x:v>E0 capacity input</x:v>
      </x:c>
      <x:c r="H4" s="22" t="str">
        <x:v>https://android.googlesource.com/device/google/marlin/+/master/marlin/overlay/frameworks/base/core/res/res/xml/power_profile.xml</x:v>
      </x:c>
      <x:c r="I4" s="22" t="str">
        <x:v>L27-L28</x:v>
      </x:c>
      <x:c r="J4" s="22" t="str">
        <x:v>Unit is mAh, not current; converted to Wh in Battery sheet.</x:v>
      </x:c>
    </x:row>
    <x:row r="5">
      <x:c r="A5" s="22" t="str">
        <x:v>CPU</x:v>
      </x:c>
      <x:c r="B5" s="22" t="str">
        <x:v>cpu.suspend</x:v>
      </x:c>
      <x:c r="C5" s="22" t="str">
        <x:v>CPU suspended current</x:v>
      </x:c>
      <x:c r="D5" s="22" t="n">
        <x:v>5.734</x:v>
      </x:c>
      <x:c r="E5" s="22" t="n">
        <x:v>3.7</x:v>
      </x:c>
      <x:c r="F5" s="22" t="n">
        <x:v>0.0212158</x:v>
      </x:c>
      <x:c r="G5" s="22" t="str">
        <x:v>P_idle / low-power state</x:v>
      </x:c>
      <x:c r="H5" s="22" t="str">
        <x:v>https://android.googlesource.com/device/google/marlin/+/master/marlin/overlay/frameworks/base/core/res/res/xml/power_profile.xml</x:v>
      </x:c>
      <x:c r="I5" s="22" t="str">
        <x:v>L34-L35</x:v>
      </x:c>
      <x:c r="J5" s="22"/>
    </x:row>
    <x:row r="6">
      <x:c r="A6" s="22" t="str">
        <x:v>CPU</x:v>
      </x:c>
      <x:c r="B6" s="22" t="str">
        <x:v>cpu.idle</x:v>
      </x:c>
      <x:c r="C6" s="22" t="str">
        <x:v>CPU kernel idle-loop additional current</x:v>
      </x:c>
      <x:c r="D6" s="22" t="n">
        <x:v>1.389</x:v>
      </x:c>
      <x:c r="E6" s="22" t="n">
        <x:v>3.7</x:v>
      </x:c>
      <x:c r="F6" s="22" t="n">
        <x:v>0.0051393</x:v>
      </x:c>
      <x:c r="G6" s="22" t="str">
        <x:v>P_idle / low CPU</x:v>
      </x:c>
      <x:c r="H6" s="22" t="str">
        <x:v>https://android.googlesource.com/device/google/marlin/+/master/marlin/overlay/frameworks/base/core/res/res/xml/power_profile.xml</x:v>
      </x:c>
      <x:c r="I6" s="22" t="str">
        <x:v>L36-L37</x:v>
      </x:c>
      <x:c r="J6" s="22"/>
    </x:row>
    <x:row r="7">
      <x:c r="A7" s="22" t="str">
        <x:v>CPU</x:v>
      </x:c>
      <x:c r="B7" s="22" t="str">
        <x:v>cpu.active</x:v>
      </x:c>
      <x:c r="C7" s="22" t="str">
        <x:v>CPU active base current</x:v>
      </x:c>
      <x:c r="D7" s="22" t="n">
        <x:v>18.76</x:v>
      </x:c>
      <x:c r="E7" s="22" t="n">
        <x:v>3.7</x:v>
      </x:c>
      <x:c r="F7" s="22" t="n">
        <x:v>0.069412</x:v>
      </x:c>
      <x:c r="G7" s="22" t="str">
        <x:v>CPU active base</x:v>
      </x:c>
      <x:c r="H7" s="22" t="str">
        <x:v>https://android.googlesource.com/device/google/marlin/+/master/marlin/overlay/frameworks/base/core/res/res/xml/power_profile.xml</x:v>
      </x:c>
      <x:c r="I7" s="22" t="str">
        <x:v>L38-L40</x:v>
      </x:c>
      <x:c r="J7" s="22"/>
    </x:row>
    <x:row r="8">
      <x:c r="A8" s="22" t="str">
        <x:v>CPU</x:v>
      </x:c>
      <x:c r="B8" s="22" t="str">
        <x:v>cpu.cluster_power.cluster0</x:v>
      </x:c>
      <x:c r="C8" s="22" t="str">
        <x:v>Cluster 0 running current excluding cores</x:v>
      </x:c>
      <x:c r="D8" s="22" t="n">
        <x:v>14.748</x:v>
      </x:c>
      <x:c r="E8" s="22" t="n">
        <x:v>3.7</x:v>
      </x:c>
      <x:c r="F8" s="22" t="n">
        <x:v>0.0545676</x:v>
      </x:c>
      <x:c r="G8" s="22" t="str">
        <x:v>CPU cluster dynamic</x:v>
      </x:c>
      <x:c r="H8" s="22" t="str">
        <x:v>https://android.googlesource.com/device/google/marlin/+/master/marlin/overlay/frameworks/base/core/res/res/xml/power_profile.xml</x:v>
      </x:c>
      <x:c r="I8" s="22" t="str">
        <x:v>L41-L43</x:v>
      </x:c>
      <x:c r="J8" s="22"/>
    </x:row>
    <x:row r="9">
      <x:c r="A9" s="22" t="str">
        <x:v>CPU</x:v>
      </x:c>
      <x:c r="B9" s="22" t="str">
        <x:v>cpu.cluster_power.cluster1</x:v>
      </x:c>
      <x:c r="C9" s="22" t="str">
        <x:v>Cluster 1 running current excluding cores</x:v>
      </x:c>
      <x:c r="D9" s="22" t="n">
        <x:v>21.155</x:v>
      </x:c>
      <x:c r="E9" s="22" t="n">
        <x:v>3.7</x:v>
      </x:c>
      <x:c r="F9" s="22" t="n">
        <x:v>0.07827350000000001</x:v>
      </x:c>
      <x:c r="G9" s="22" t="str">
        <x:v>CPU cluster dynamic</x:v>
      </x:c>
      <x:c r="H9" s="22" t="str">
        <x:v>https://android.googlesource.com/device/google/marlin/+/master/marlin/overlay/frameworks/base/core/res/res/xml/power_profile.xml</x:v>
      </x:c>
      <x:c r="I9" s="22" t="str">
        <x:v>L44-L46</x:v>
      </x:c>
      <x:c r="J9" s="22"/>
    </x:row>
    <x:row r="10">
      <x:c r="A10" s="22" t="str">
        <x:v>CPU</x:v>
      </x:c>
      <x:c r="B10" s="22" t="str">
        <x:v>cpu.core_power.cluster0.min</x:v>
      </x:c>
      <x:c r="C10" s="22" t="str">
        <x:v>Cluster 0 core current at 307 MHz</x:v>
      </x:c>
      <x:c r="D10" s="22" t="n">
        <x:v>11.272</x:v>
      </x:c>
      <x:c r="E10" s="22" t="n">
        <x:v>3.7</x:v>
      </x:c>
      <x:c r="F10" s="22" t="n">
        <x:v>0.041706400000000005</x:v>
      </x:c>
      <x:c r="G10" s="22" t="str">
        <x:v>CPU low-load coefficient</x:v>
      </x:c>
      <x:c r="H10" s="22" t="str">
        <x:v>https://android.googlesource.com/device/google/marlin/+/master/marlin/overlay/frameworks/base/core/res/res/xml/power_profile.xml</x:v>
      </x:c>
      <x:c r="I10" s="22" t="str">
        <x:v>L98-L102</x:v>
      </x:c>
      <x:c r="J10" s="22" t="str">
        <x:v>First value of cpu.core_power.cluster0.</x:v>
      </x:c>
    </x:row>
    <x:row r="11">
      <x:c r="A11" s="22" t="str">
        <x:v>CPU</x:v>
      </x:c>
      <x:c r="B11" s="22" t="str">
        <x:v>cpu.core_power.cluster0.max</x:v>
      </x:c>
      <x:c r="C11" s="22" t="str">
        <x:v>Cluster 0 core current at 1593 MHz</x:v>
      </x:c>
      <x:c r="D11" s="22" t="n">
        <x:v>154.435</x:v>
      </x:c>
      <x:c r="E11" s="22" t="n">
        <x:v>3.7</x:v>
      </x:c>
      <x:c r="F11" s="22" t="n">
        <x:v>0.5714095</x:v>
      </x:c>
      <x:c r="G11" s="22" t="str">
        <x:v>CPU high-load coefficient</x:v>
      </x:c>
      <x:c r="H11" s="22" t="str">
        <x:v>https://android.googlesource.com/device/google/marlin/+/master/marlin/overlay/frameworks/base/core/res/res/xml/power_profile.xml</x:v>
      </x:c>
      <x:c r="I11" s="22" t="str">
        <x:v>L116-L118</x:v>
      </x:c>
      <x:c r="J11" s="22" t="str">
        <x:v>Last value of cpu.core_power.cluster0.</x:v>
      </x:c>
    </x:row>
    <x:row r="12">
      <x:c r="A12" s="22" t="str">
        <x:v>CPU</x:v>
      </x:c>
      <x:c r="B12" s="22" t="str">
        <x:v>cpu.core_power.cluster1.min</x:v>
      </x:c>
      <x:c r="C12" s="22" t="str">
        <x:v>Cluster 1 core current at 307 MHz</x:v>
      </x:c>
      <x:c r="D12" s="22" t="n">
        <x:v>7.055</x:v>
      </x:c>
      <x:c r="E12" s="22" t="n">
        <x:v>3.7</x:v>
      </x:c>
      <x:c r="F12" s="22" t="n">
        <x:v>0.0261035</x:v>
      </x:c>
      <x:c r="G12" s="22" t="str">
        <x:v>CPU low-load coefficient</x:v>
      </x:c>
      <x:c r="H12" s="22" t="str">
        <x:v>https://android.googlesource.com/device/google/marlin/+/master/marlin/overlay/frameworks/base/core/res/res/xml/power_profile.xml</x:v>
      </x:c>
      <x:c r="I12" s="22" t="str">
        <x:v>L120-L124</x:v>
      </x:c>
      <x:c r="J12" s="22" t="str">
        <x:v>First value of cpu.core_power.cluster1.</x:v>
      </x:c>
    </x:row>
    <x:row r="13">
      <x:c r="A13" s="22" t="str">
        <x:v>CPU</x:v>
      </x:c>
      <x:c r="B13" s="22" t="str">
        <x:v>cpu.core_power.cluster1.max</x:v>
      </x:c>
      <x:c r="C13" s="22" t="str">
        <x:v>Cluster 1 core current at 2150 MHz</x:v>
      </x:c>
      <x:c r="D13" s="22" t="n">
        <x:v>297.918</x:v>
      </x:c>
      <x:c r="E13" s="22" t="n">
        <x:v>3.7</x:v>
      </x:c>
      <x:c r="F13" s="22" t="n">
        <x:v>1.1022966</x:v>
      </x:c>
      <x:c r="G13" s="22" t="str">
        <x:v>CPU high-load coefficient</x:v>
      </x:c>
      <x:c r="H13" s="22" t="str">
        <x:v>https://android.googlesource.com/device/google/marlin/+/master/marlin/overlay/frameworks/base/core/res/res/xml/power_profile.xml</x:v>
      </x:c>
      <x:c r="I13" s="22" t="str">
        <x:v>L145-L147</x:v>
      </x:c>
      <x:c r="J13" s="22" t="str">
        <x:v>Last value of cpu.core_power.cluster1.</x:v>
      </x:c>
    </x:row>
    <x:row r="14">
      <x:c r="A14" s="22" t="str">
        <x:v>Display</x:v>
      </x:c>
      <x:c r="B14" s="22" t="str">
        <x:v>screen.on</x:v>
      </x:c>
      <x:c r="C14" s="22" t="str">
        <x:v>Screen on at minimum brightness</x:v>
      </x:c>
      <x:c r="D14" s="22" t="n">
        <x:v>178.708</x:v>
      </x:c>
      <x:c r="E14" s="22" t="n">
        <x:v>3.7</x:v>
      </x:c>
      <x:c r="F14" s="22" t="n">
        <x:v>0.6612196</x:v>
      </x:c>
      <x:c r="G14" s="22" t="str">
        <x:v>P_screen base</x:v>
      </x:c>
      <x:c r="H14" s="22" t="str">
        <x:v>https://android.googlesource.com/device/google/marlin/+/master/marlin/overlay/frameworks/base/core/res/res/xml/power_profile.xml</x:v>
      </x:c>
      <x:c r="I14" s="22" t="str">
        <x:v>L149-L150</x:v>
      </x:c>
      <x:c r="J14" s="22" t="str">
        <x:v>XML current converted with nominal battery voltage.</x:v>
      </x:c>
    </x:row>
    <x:row r="15">
      <x:c r="A15" s="22" t="str">
        <x:v>Display</x:v>
      </x:c>
      <x:c r="B15" s="22" t="str">
        <x:v>screen.full</x:v>
      </x:c>
      <x:c r="C15" s="22" t="str">
        <x:v>Additional current at maximum brightness</x:v>
      </x:c>
      <x:c r="D15" s="22" t="n">
        <x:v>240.79</x:v>
      </x:c>
      <x:c r="E15" s="22" t="n">
        <x:v>3.7</x:v>
      </x:c>
      <x:c r="F15" s="22" t="n">
        <x:v>0.890923</x:v>
      </x:c>
      <x:c r="G15" s="22" t="str">
        <x:v>P_screen brightness term</x:v>
      </x:c>
      <x:c r="H15" s="22" t="str">
        <x:v>https://android.googlesource.com/device/google/marlin/+/master/marlin/overlay/frameworks/base/core/res/res/xml/power_profile.xml</x:v>
      </x:c>
      <x:c r="I15" s="22" t="str">
        <x:v>L151-L153</x:v>
      </x:c>
      <x:c r="J15" s="22" t="str">
        <x:v>Full-brightness display current = screen.on + screen.full.</x:v>
      </x:c>
    </x:row>
    <x:row r="16">
      <x:c r="A16" s="22" t="str">
        <x:v>Camera</x:v>
      </x:c>
      <x:c r="B16" s="22" t="str">
        <x:v>camera.flashlight</x:v>
      </x:c>
      <x:c r="C16" s="22" t="str">
        <x:v>Camera flashlight current</x:v>
      </x:c>
      <x:c r="D16" s="22" t="n">
        <x:v>298.498</x:v>
      </x:c>
      <x:c r="E16" s="22" t="n">
        <x:v>3.7</x:v>
      </x:c>
      <x:c r="F16" s="22" t="n">
        <x:v>1.1044426</x:v>
      </x:c>
      <x:c r="G16" s="22" t="str">
        <x:v>Optional camera scenario</x:v>
      </x:c>
      <x:c r="H16" s="22" t="str">
        <x:v>https://android.googlesource.com/device/google/marlin/+/master/marlin/overlay/frameworks/base/core/res/res/xml/power_profile.xml</x:v>
      </x:c>
      <x:c r="I16" s="22" t="str">
        <x:v>L154-L155</x:v>
      </x:c>
      <x:c r="J16" s="22"/>
    </x:row>
    <x:row r="17">
      <x:c r="A17" s="22" t="str">
        <x:v>Camera</x:v>
      </x:c>
      <x:c r="B17" s="22" t="str">
        <x:v>camera.avg</x:v>
      </x:c>
      <x:c r="C17" s="22" t="str">
        <x:v>Average camera subsystem current</x:v>
      </x:c>
      <x:c r="D17" s="22" t="n">
        <x:v>1152.292</x:v>
      </x:c>
      <x:c r="E17" s="22" t="n">
        <x:v>3.7</x:v>
      </x:c>
      <x:c r="F17" s="22" t="n">
        <x:v>4.2634804</x:v>
      </x:c>
      <x:c r="G17" s="22" t="str">
        <x:v>Optional camera scenario</x:v>
      </x:c>
      <x:c r="H17" s="22" t="str">
        <x:v>https://android.googlesource.com/device/google/marlin/+/master/marlin/overlay/frameworks/base/core/res/res/xml/power_profile.xml</x:v>
      </x:c>
      <x:c r="I17" s="22" t="str">
        <x:v>L156-L160</x:v>
      </x:c>
      <x:c r="J17" s="22" t="str">
        <x:v>Rough estimate for preview and photos.</x:v>
      </x:c>
    </x:row>
    <x:row r="18">
      <x:c r="A18" s="22" t="str">
        <x:v>Media</x:v>
      </x:c>
      <x:c r="B18" s="22" t="str">
        <x:v>video</x:v>
      </x:c>
      <x:c r="C18" s="22" t="str">
        <x:v>Additional current when video is playing</x:v>
      </x:c>
      <x:c r="D18" s="22" t="n">
        <x:v>50.93</x:v>
      </x:c>
      <x:c r="E18" s="22" t="n">
        <x:v>3.7</x:v>
      </x:c>
      <x:c r="F18" s="22" t="n">
        <x:v>0.188441</x:v>
      </x:c>
      <x:c r="G18" s="22" t="str">
        <x:v>P_video</x:v>
      </x:c>
      <x:c r="H18" s="22" t="str">
        <x:v>https://android.googlesource.com/device/google/marlin/+/master/marlin/overlay/frameworks/base/core/res/res/xml/power_profile.xml</x:v>
      </x:c>
      <x:c r="I18" s="22" t="str">
        <x:v>L161-L162</x:v>
      </x:c>
      <x:c r="J18" s="22"/>
    </x:row>
    <x:row r="19">
      <x:c r="A19" s="22" t="str">
        <x:v>Media</x:v>
      </x:c>
      <x:c r="B19" s="22" t="str">
        <x:v>audio</x:v>
      </x:c>
      <x:c r="C19" s="22" t="str">
        <x:v>Additional current when audio is playing</x:v>
      </x:c>
      <x:c r="D19" s="22" t="n">
        <x:v>75.6</x:v>
      </x:c>
      <x:c r="E19" s="22" t="n">
        <x:v>3.7</x:v>
      </x:c>
      <x:c r="F19" s="22" t="n">
        <x:v>0.27971999999999997</x:v>
      </x:c>
      <x:c r="G19" s="22" t="str">
        <x:v>P_audio</x:v>
      </x:c>
      <x:c r="H19" s="22" t="str">
        <x:v>https://android.googlesource.com/device/google/marlin/+/master/marlin/overlay/frameworks/base/core/res/res/xml/power_profile.xml</x:v>
      </x:c>
      <x:c r="I19" s="22" t="str">
        <x:v>L163-L164</x:v>
      </x:c>
      <x:c r="J19" s="22"/>
    </x:row>
    <x:row r="20">
      <x:c r="A20" s="22" t="str">
        <x:v>Wi-Fi</x:v>
      </x:c>
      <x:c r="B20" s="22" t="str">
        <x:v>wifi.controller.idle</x:v>
      </x:c>
      <x:c r="C20" s="22" t="str">
        <x:v>Wi-Fi radio idle current</x:v>
      </x:c>
      <x:c r="D20" s="22" t="n">
        <x:v>79</x:v>
      </x:c>
      <x:c r="E20" s="22" t="n">
        <x:v>3.7</x:v>
      </x:c>
      <x:c r="F20" s="22" t="n">
        <x:v>0.2923</x:v>
      </x:c>
      <x:c r="G20" s="22" t="str">
        <x:v>P_wifi idle</x:v>
      </x:c>
      <x:c r="H20" s="22" t="str">
        <x:v>https://android.googlesource.com/device/google/marlin/+/master/marlin/overlay/frameworks/base/core/res/res/xml/power_profile.xml</x:v>
      </x:c>
      <x:c r="I20" s="22" t="str">
        <x:v>L165-L166</x:v>
      </x:c>
      <x:c r="J20" s="22" t="str">
        <x:v>Controller voltage in XML is 3700 mV.</x:v>
      </x:c>
    </x:row>
    <x:row r="21">
      <x:c r="A21" s="22" t="str">
        <x:v>Wi-Fi</x:v>
      </x:c>
      <x:c r="B21" s="22" t="str">
        <x:v>wifi.controller.rx</x:v>
      </x:c>
      <x:c r="C21" s="22" t="str">
        <x:v>Wi-Fi receive current</x:v>
      </x:c>
      <x:c r="D21" s="22" t="n">
        <x:v>107</x:v>
      </x:c>
      <x:c r="E21" s="22" t="n">
        <x:v>3.7</x:v>
      </x:c>
      <x:c r="F21" s="22" t="n">
        <x:v>0.39590000000000003</x:v>
      </x:c>
      <x:c r="G21" s="22" t="str">
        <x:v>P_wifi_rx</x:v>
      </x:c>
      <x:c r="H21" s="22" t="str">
        <x:v>https://android.googlesource.com/device/google/marlin/+/master/marlin/overlay/frameworks/base/core/res/res/xml/power_profile.xml</x:v>
      </x:c>
      <x:c r="I21" s="22" t="str">
        <x:v>L167-L168</x:v>
      </x:c>
      <x:c r="J21" s="22" t="str">
        <x:v>Controller voltage in XML is 3700 mV.</x:v>
      </x:c>
    </x:row>
    <x:row r="22">
      <x:c r="A22" s="22" t="str">
        <x:v>Wi-Fi</x:v>
      </x:c>
      <x:c r="B22" s="22" t="str">
        <x:v>wifi.controller.tx</x:v>
      </x:c>
      <x:c r="C22" s="22" t="str">
        <x:v>Wi-Fi transmit current</x:v>
      </x:c>
      <x:c r="D22" s="22" t="n">
        <x:v>371</x:v>
      </x:c>
      <x:c r="E22" s="22" t="n">
        <x:v>3.7</x:v>
      </x:c>
      <x:c r="F22" s="22" t="n">
        <x:v>1.3727</x:v>
      </x:c>
      <x:c r="G22" s="22" t="str">
        <x:v>P_wifi_tx</x:v>
      </x:c>
      <x:c r="H22" s="22" t="str">
        <x:v>https://android.googlesource.com/device/google/marlin/+/master/marlin/overlay/frameworks/base/core/res/res/xml/power_profile.xml</x:v>
      </x:c>
      <x:c r="I22" s="22" t="str">
        <x:v>L169-L172</x:v>
      </x:c>
      <x:c r="J22" s="22" t="str">
        <x:v>Controller voltage in XML is 3700 mV.</x:v>
      </x:c>
    </x:row>
    <x:row r="23">
      <x:c r="A23" s="22" t="str">
        <x:v>Modem</x:v>
      </x:c>
      <x:c r="B23" s="22" t="str">
        <x:v>modem.controller.idle</x:v>
      </x:c>
      <x:c r="C23" s="22" t="str">
        <x:v>Cellular modem idle current</x:v>
      </x:c>
      <x:c r="D23" s="22" t="n">
        <x:v>105</x:v>
      </x:c>
      <x:c r="E23" s="22" t="n">
        <x:v>3.7</x:v>
      </x:c>
      <x:c r="F23" s="22" t="n">
        <x:v>0.3885</x:v>
      </x:c>
      <x:c r="G23" s="22" t="str">
        <x:v>P_modem idle</x:v>
      </x:c>
      <x:c r="H23" s="22" t="str">
        <x:v>https://android.googlesource.com/device/google/marlin/+/master/marlin/overlay/frameworks/base/core/res/res/xml/power_profile.xml</x:v>
      </x:c>
      <x:c r="I23" s="22" t="str">
        <x:v>L173-L176</x:v>
      </x:c>
      <x:c r="J23" s="22" t="str">
        <x:v>Controller voltage in XML is 3700 mV.</x:v>
      </x:c>
    </x:row>
    <x:row r="24">
      <x:c r="A24" s="22" t="str">
        <x:v>Modem</x:v>
      </x:c>
      <x:c r="B24" s="22" t="str">
        <x:v>modem.controller.rx</x:v>
      </x:c>
      <x:c r="C24" s="22" t="str">
        <x:v>Cellular modem receive current</x:v>
      </x:c>
      <x:c r="D24" s="22" t="n">
        <x:v>175</x:v>
      </x:c>
      <x:c r="E24" s="22" t="n">
        <x:v>3.7</x:v>
      </x:c>
      <x:c r="F24" s="22" t="n">
        <x:v>0.6475</x:v>
      </x:c>
      <x:c r="G24" s="22" t="str">
        <x:v>P_modem_rx</x:v>
      </x:c>
      <x:c r="H24" s="22" t="str">
        <x:v>https://android.googlesource.com/device/google/marlin/+/master/marlin/overlay/frameworks/base/core/res/res/xml/power_profile.xml</x:v>
      </x:c>
      <x:c r="I24" s="22" t="str">
        <x:v>L177-L178</x:v>
      </x:c>
      <x:c r="J24" s="22" t="str">
        <x:v>Controller voltage in XML is 3700 mV.</x:v>
      </x:c>
    </x:row>
    <x:row r="25">
      <x:c r="A25" s="22" t="str">
        <x:v>Modem</x:v>
      </x:c>
      <x:c r="B25" s="22" t="str">
        <x:v>modem.controller.tx.bin0</x:v>
      </x:c>
      <x:c r="C25" s="22" t="str">
        <x:v>Cellular modem transmit current, bin 0</x:v>
      </x:c>
      <x:c r="D25" s="22" t="n">
        <x:v>176</x:v>
      </x:c>
      <x:c r="E25" s="22" t="n">
        <x:v>3.7</x:v>
      </x:c>
      <x:c r="F25" s="22" t="n">
        <x:v>0.6512</x:v>
      </x:c>
      <x:c r="G25" s="22" t="str">
        <x:v>P_modem_tx low bin</x:v>
      </x:c>
      <x:c r="H25" s="22" t="str">
        <x:v>https://android.googlesource.com/device/google/marlin/+/master/marlin/overlay/frameworks/base/core/res/res/xml/power_profile.xml</x:v>
      </x:c>
      <x:c r="I25" s="22" t="str">
        <x:v>L179-L182</x:v>
      </x:c>
      <x:c r="J25" s="22" t="str">
        <x:v>Use as lower transmit-power bin.</x:v>
      </x:c>
    </x:row>
    <x:row r="26">
      <x:c r="A26" s="22" t="str">
        <x:v>Modem</x:v>
      </x:c>
      <x:c r="B26" s="22" t="str">
        <x:v>modem.controller.tx.bin1</x:v>
      </x:c>
      <x:c r="C26" s="22" t="str">
        <x:v>Cellular modem transmit current, bin 1</x:v>
      </x:c>
      <x:c r="D26" s="22" t="n">
        <x:v>216</x:v>
      </x:c>
      <x:c r="E26" s="22" t="n">
        <x:v>3.7</x:v>
      </x:c>
      <x:c r="F26" s="22" t="n">
        <x:v>0.7992</x:v>
      </x:c>
      <x:c r="G26" s="22" t="str">
        <x:v>P_modem_tx</x:v>
      </x:c>
      <x:c r="H26" s="22" t="str">
        <x:v>https://android.googlesource.com/device/google/marlin/+/master/marlin/overlay/frameworks/base/core/res/res/xml/power_profile.xml</x:v>
      </x:c>
      <x:c r="I26" s="22" t="str">
        <x:v>L179-L183</x:v>
      </x:c>
      <x:c r="J26" s="22"/>
    </x:row>
    <x:row r="27">
      <x:c r="A27" s="22" t="str">
        <x:v>Modem</x:v>
      </x:c>
      <x:c r="B27" s="22" t="str">
        <x:v>modem.controller.tx.bin2</x:v>
      </x:c>
      <x:c r="C27" s="22" t="str">
        <x:v>Cellular modem transmit current, bin 2</x:v>
      </x:c>
      <x:c r="D27" s="22" t="n">
        <x:v>300</x:v>
      </x:c>
      <x:c r="E27" s="22" t="n">
        <x:v>3.7</x:v>
      </x:c>
      <x:c r="F27" s="22" t="n">
        <x:v>1.11</x:v>
      </x:c>
      <x:c r="G27" s="22" t="str">
        <x:v>P_modem_tx</x:v>
      </x:c>
      <x:c r="H27" s="22" t="str">
        <x:v>https://android.googlesource.com/device/google/marlin/+/master/marlin/overlay/frameworks/base/core/res/res/xml/power_profile.xml</x:v>
      </x:c>
      <x:c r="I27" s="22" t="str">
        <x:v>L179-L184</x:v>
      </x:c>
      <x:c r="J27" s="22"/>
    </x:row>
    <x:row r="28">
      <x:c r="A28" s="22" t="str">
        <x:v>Modem</x:v>
      </x:c>
      <x:c r="B28" s="22" t="str">
        <x:v>modem.controller.tx.bin3</x:v>
      </x:c>
      <x:c r="C28" s="22" t="str">
        <x:v>Cellular modem transmit current, bin 3</x:v>
      </x:c>
      <x:c r="D28" s="22" t="n">
        <x:v>427</x:v>
      </x:c>
      <x:c r="E28" s="22" t="n">
        <x:v>3.7</x:v>
      </x:c>
      <x:c r="F28" s="22" t="n">
        <x:v>1.5799</x:v>
      </x:c>
      <x:c r="G28" s="22" t="str">
        <x:v>P_modem_tx</x:v>
      </x:c>
      <x:c r="H28" s="22" t="str">
        <x:v>https://android.googlesource.com/device/google/marlin/+/master/marlin/overlay/frameworks/base/core/res/res/xml/power_profile.xml</x:v>
      </x:c>
      <x:c r="I28" s="22" t="str">
        <x:v>L179-L185</x:v>
      </x:c>
      <x:c r="J28" s="22"/>
    </x:row>
    <x:row r="29">
      <x:c r="A29" s="22" t="str">
        <x:v>Modem</x:v>
      </x:c>
      <x:c r="B29" s="22" t="str">
        <x:v>modem.controller.tx.bin4</x:v>
      </x:c>
      <x:c r="C29" s="22" t="str">
        <x:v>Cellular modem transmit current, bin 4</x:v>
      </x:c>
      <x:c r="D29" s="22" t="n">
        <x:v>604</x:v>
      </x:c>
      <x:c r="E29" s="22" t="n">
        <x:v>3.7</x:v>
      </x:c>
      <x:c r="F29" s="22" t="n">
        <x:v>2.2348000000000003</x:v>
      </x:c>
      <x:c r="G29" s="22" t="str">
        <x:v>P_modem_tx high bin</x:v>
      </x:c>
      <x:c r="H29" s="22" t="str">
        <x:v>https://android.googlesource.com/device/google/marlin/+/master/marlin/overlay/frameworks/base/core/res/res/xml/power_profile.xml</x:v>
      </x:c>
      <x:c r="I29" s="22" t="str">
        <x:v>L179-L186</x:v>
      </x:c>
      <x:c r="J29" s="22" t="str">
        <x:v>Use as high transmit-power bin in weak-signal scenario.</x:v>
      </x:c>
    </x:row>
    <x:row r="30">
      <x:c r="A30" s="22" t="str">
        <x:v>GPS</x:v>
      </x:c>
      <x:c r="B30" s="22" t="str">
        <x:v>gps.signalqualitybased.weak</x:v>
      </x:c>
      <x:c r="C30" s="22" t="str">
        <x:v>GPS current, weak/low-quality signal bin</x:v>
      </x:c>
      <x:c r="D30" s="22" t="n">
        <x:v>49</x:v>
      </x:c>
      <x:c r="E30" s="22" t="n">
        <x:v>3.7</x:v>
      </x:c>
      <x:c r="F30" s="22" t="n">
        <x:v>0.18130000000000002</x:v>
      </x:c>
      <x:c r="G30" s="22" t="str">
        <x:v>P_gps weak</x:v>
      </x:c>
      <x:c r="H30" s="22" t="str">
        <x:v>https://android.googlesource.com/device/google/marlin/+/master/marlin/overlay/frameworks/base/core/res/res/xml/power_profile.xml</x:v>
      </x:c>
      <x:c r="I30" s="22" t="str">
        <x:v>L189-L192</x:v>
      </x:c>
      <x:c r="J30" s="22" t="str">
        <x:v>XML has two GPS signal-quality bins: 49 mA and 11 mA.</x:v>
      </x:c>
    </x:row>
    <x:row r="31">
      <x:c r="A31" s="22" t="str">
        <x:v>GPS</x:v>
      </x:c>
      <x:c r="B31" s="22" t="str">
        <x:v>gps.signalqualitybased.strong</x:v>
      </x:c>
      <x:c r="C31" s="22" t="str">
        <x:v>GPS current, strong/high-quality signal bin</x:v>
      </x:c>
      <x:c r="D31" s="22" t="n">
        <x:v>11</x:v>
      </x:c>
      <x:c r="E31" s="22" t="n">
        <x:v>3.7</x:v>
      </x:c>
      <x:c r="F31" s="22" t="n">
        <x:v>0.0407</x:v>
      </x:c>
      <x:c r="G31" s="22" t="str">
        <x:v>P_gps strong</x:v>
      </x:c>
      <x:c r="H31" s="22" t="str">
        <x:v>https://android.googlesource.com/device/google/marlin/+/master/marlin/overlay/frameworks/base/core/res/res/xml/power_profile.xml</x:v>
      </x:c>
      <x:c r="I31" s="22" t="str">
        <x:v>L189-L193</x:v>
      </x:c>
      <x:c r="J31" s="22"/>
    </x:row>
    <x:row r="32">
      <x:c r="A32" s="22" t="str">
        <x:v>Bluetooth</x:v>
      </x:c>
      <x:c r="B32" s="22" t="str">
        <x:v>bluetooth.controller.idle</x:v>
      </x:c>
      <x:c r="C32" s="22" t="str">
        <x:v>Bluetooth idle current</x:v>
      </x:c>
      <x:c r="D32" s="22" t="n">
        <x:v>0.01</x:v>
      </x:c>
      <x:c r="E32" s="22" t="n">
        <x:v>3.3</x:v>
      </x:c>
      <x:c r="F32" s="22" t="n">
        <x:v>0.000033</x:v>
      </x:c>
      <x:c r="G32" s="22" t="str">
        <x:v>Optional Bluetooth idle</x:v>
      </x:c>
      <x:c r="H32" s="22" t="str">
        <x:v>https://android.googlesource.com/device/google/marlin/+/master/marlin/overlay/frameworks/base/core/res/res/xml/power_profile.xml</x:v>
      </x:c>
      <x:c r="I32" s="22" t="str">
        <x:v>L195-L202</x:v>
      </x:c>
      <x:c r="J32" s="22" t="str">
        <x:v>Controller voltage in XML is 3300 mV.</x:v>
      </x:c>
    </x:row>
    <x:row r="33">
      <x:c r="A33" s="22" t="str">
        <x:v>Bluetooth</x:v>
      </x:c>
      <x:c r="B33" s="22" t="str">
        <x:v>bluetooth.controller.rx</x:v>
      </x:c>
      <x:c r="C33" s="22" t="str">
        <x:v>Bluetooth receive current</x:v>
      </x:c>
      <x:c r="D33" s="22" t="n">
        <x:v>8</x:v>
      </x:c>
      <x:c r="E33" s="22" t="n">
        <x:v>3.3</x:v>
      </x:c>
      <x:c r="F33" s="22" t="n">
        <x:v>0.0264</x:v>
      </x:c>
      <x:c r="G33" s="22" t="str">
        <x:v>Optional Bluetooth RX</x:v>
      </x:c>
      <x:c r="H33" s="22" t="str">
        <x:v>https://android.googlesource.com/device/google/marlin/+/master/marlin/overlay/frameworks/base/core/res/res/xml/power_profile.xml</x:v>
      </x:c>
      <x:c r="I33" s="22" t="str">
        <x:v>L197-L202</x:v>
      </x:c>
      <x:c r="J33" s="22" t="str">
        <x:v>Controller voltage in XML is 3300 mV.</x:v>
      </x:c>
    </x:row>
    <x:row r="34">
      <x:c r="A34" s="22" t="str">
        <x:v>Bluetooth</x:v>
      </x:c>
      <x:c r="B34" s="22" t="str">
        <x:v>bluetooth.controller.tx</x:v>
      </x:c>
      <x:c r="C34" s="22" t="str">
        <x:v>Bluetooth transmit current</x:v>
      </x:c>
      <x:c r="D34" s="22" t="n">
        <x:v>7</x:v>
      </x:c>
      <x:c r="E34" s="22" t="n">
        <x:v>3.3</x:v>
      </x:c>
      <x:c r="F34" s="22" t="n">
        <x:v>0.0231</x:v>
      </x:c>
      <x:c r="G34" s="22" t="str">
        <x:v>Optional Bluetooth TX</x:v>
      </x:c>
      <x:c r="H34" s="22" t="str">
        <x:v>https://android.googlesource.com/device/google/marlin/+/master/marlin/overlay/frameworks/base/core/res/res/xml/power_profile.xml</x:v>
      </x:c>
      <x:c r="I34" s="22" t="str">
        <x:v>L199-L202</x:v>
      </x:c>
      <x:c r="J34" s="22" t="str">
        <x:v>Controller voltage in XML is 3300 mV.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54f785d9f994f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  <x:col min="27" max="27" width="13" hidden="0" customWidth="1"/>
    <x:col min="28" max="28" width="14" hidden="0" customWidth="1"/>
    <x:col min="29" max="29" width="50" hidden="0" customWidth="1"/>
  </x:cols>
  <x:sheetData>
    <x:row r="1" ht="28" customHeight="1">
      <x:c r="A1" s="6" t="str">
        <x:v>典型使用场景输入与分项功耗</x:v>
      </x:c>
      <x:c r="D1" s="28"/>
      <x:c r="E1" s="28"/>
      <x:c r="G1" s="28"/>
      <x:c r="H1" s="28"/>
      <x:c r="J1" s="28"/>
      <x:c r="K1" s="28"/>
      <x:c r="L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</x:row>
    <x:row r="2">
      <x:c r="A2" s="24" t="str">
        <x:v>六类/七类场景的归一化输入、分项功率和总功率。</x:v>
      </x:c>
    </x:row>
    <x:row r="3">
      <x:c r="A3" s="16" t="str">
        <x:v>Scenario</x:v>
      </x:c>
      <x:c r="B3" s="16" t="str">
        <x:v>Category_basis</x:v>
      </x:c>
      <x:c r="C3" s="16" t="str">
        <x:v>Screen_on</x:v>
      </x:c>
      <x:c r="D3" s="16" t="str">
        <x:v>Brightness_0_1</x:v>
      </x:c>
      <x:c r="E3" s="16" t="str">
        <x:v>CPU_load_0_1</x:v>
      </x:c>
      <x:c r="F3" s="16" t="str">
        <x:v>WiFi_idle_flag</x:v>
      </x:c>
      <x:c r="G3" s="16" t="str">
        <x:v>WiFi_RX_duty</x:v>
      </x:c>
      <x:c r="H3" s="16" t="str">
        <x:v>WiFi_TX_duty</x:v>
      </x:c>
      <x:c r="I3" s="16" t="str">
        <x:v>Modem_idle_flag</x:v>
      </x:c>
      <x:c r="J3" s="16" t="str">
        <x:v>Modem_RX_duty</x:v>
      </x:c>
      <x:c r="K3" s="16" t="str">
        <x:v>Modem_TX_low_duty</x:v>
      </x:c>
      <x:c r="L3" s="16" t="str">
        <x:v>Modem_TX_high_duty</x:v>
      </x:c>
      <x:c r="M3" s="16" t="str">
        <x:v>GPS_flag</x:v>
      </x:c>
      <x:c r="N3" s="16" t="str">
        <x:v>GPS_quality</x:v>
      </x:c>
      <x:c r="O3" s="16" t="str">
        <x:v>Video_flag</x:v>
      </x:c>
      <x:c r="P3" s="16" t="str">
        <x:v>Audio_factor</x:v>
      </x:c>
      <x:c r="Q3" s="16" t="str">
        <x:v>Background_power_W</x:v>
      </x:c>
      <x:c r="R3" s="16" t="str">
        <x:v>Temperature_factor</x:v>
      </x:c>
      <x:c r="S3" s="16" t="str">
        <x:v>Aging_factor</x:v>
      </x:c>
      <x:c r="T3" s="16" t="str">
        <x:v>P_screen_W</x:v>
      </x:c>
      <x:c r="U3" s="16" t="str">
        <x:v>P_cpu_W</x:v>
      </x:c>
      <x:c r="V3" s="16" t="str">
        <x:v>P_wifi_W</x:v>
      </x:c>
      <x:c r="W3" s="16" t="str">
        <x:v>P_modem_W</x:v>
      </x:c>
      <x:c r="X3" s="16" t="str">
        <x:v>P_gps_W</x:v>
      </x:c>
      <x:c r="Y3" s="16" t="str">
        <x:v>P_media_W</x:v>
      </x:c>
      <x:c r="Z3" s="16" t="str">
        <x:v>P_background_W</x:v>
      </x:c>
      <x:c r="AA3" s="16" t="str">
        <x:v>P_total_W</x:v>
      </x:c>
      <x:c r="AB3" s="16" t="str">
        <x:v>E_effective_Wh</x:v>
      </x:c>
      <x:c r="AC3" s="16" t="str">
        <x:v>Notes</x:v>
      </x:c>
    </x:row>
    <x:row r="4">
      <x:c r="A4" s="22" t="str">
        <x:v>Standby</x:v>
      </x:c>
      <x:c r="B4" s="22" t="str">
        <x:v>Background Processes and Services</x:v>
      </x:c>
      <x:c r="C4" s="22" t="n">
        <x:v>0</x:v>
      </x:c>
      <x:c r="D4" s="22" t="n">
        <x:v>0</x:v>
      </x:c>
      <x:c r="E4" s="22" t="n">
        <x:v>0.05</x:v>
      </x:c>
      <x:c r="F4" s="22" t="n">
        <x:v>1</x:v>
      </x:c>
      <x:c r="G4" s="22" t="n">
        <x:v>0.01</x:v>
      </x:c>
      <x:c r="H4" s="22" t="n">
        <x:v>0.002</x:v>
      </x:c>
      <x:c r="I4" s="22" t="n">
        <x:v>1</x:v>
      </x:c>
      <x:c r="J4" s="22" t="n">
        <x:v>0.005</x:v>
      </x:c>
      <x:c r="K4" s="22" t="n">
        <x:v>0.002</x:v>
      </x:c>
      <x:c r="L4" s="22" t="n">
        <x:v>0</x:v>
      </x:c>
      <x:c r="M4" s="22" t="n">
        <x:v>0</x:v>
      </x:c>
      <x:c r="N4" s="22" t="str">
        <x:v>strong</x:v>
      </x:c>
      <x:c r="O4" s="22" t="n">
        <x:v>0</x:v>
      </x:c>
      <x:c r="P4" s="22" t="n">
        <x:v>0</x:v>
      </x:c>
      <x:c r="Q4" s="22" t="n">
        <x:v>0.08</x:v>
      </x:c>
      <x:c r="R4" s="22" t="n">
        <x:v>1</x:v>
      </x:c>
      <x:c r="S4" s="22" t="n">
        <x:v>1</x:v>
      </x:c>
      <x:c r="T4" s="22" t="n">
        <x:v>0</x:v>
      </x:c>
      <x:c r="U4" s="22" t="n">
        <x:v>0.08796770786499875</x:v>
      </x:c>
      <x:c r="V4" s="22" t="n">
        <x:v>0.2990044</x:v>
      </x:c>
      <x:c r="W4" s="22" t="n">
        <x:v>0.3930399</x:v>
      </x:c>
      <x:c r="X4" s="22" t="n">
        <x:v>0</x:v>
      </x:c>
      <x:c r="Y4" s="22" t="n">
        <x:v>0</x:v>
      </x:c>
      <x:c r="Z4" s="22" t="n">
        <x:v>0.08</x:v>
      </x:c>
      <x:c r="AA4" s="22" t="n">
        <x:v>0.8600120078649988</x:v>
      </x:c>
      <x:c r="AB4" s="22" t="n">
        <x:v>12.765</x:v>
      </x:c>
      <x:c r="AC4" s="22" t="str">
        <x:v>Screen off and low activity; used as low-drain baseline.</x:v>
      </x:c>
    </x:row>
    <x:row r="5">
      <x:c r="A5" s="22" t="str">
        <x:v>Light daily use</x:v>
      </x:c>
      <x:c r="B5" s="22" t="str">
        <x:v>Communication / Social Networking</x:v>
      </x:c>
      <x:c r="C5" s="22" t="n">
        <x:v>1</x:v>
      </x:c>
      <x:c r="D5" s="22" t="n">
        <x:v>0.35</x:v>
      </x:c>
      <x:c r="E5" s="22" t="n">
        <x:v>0.2</x:v>
      </x:c>
      <x:c r="F5" s="22" t="n">
        <x:v>1</x:v>
      </x:c>
      <x:c r="G5" s="22" t="n">
        <x:v>0.05</x:v>
      </x:c>
      <x:c r="H5" s="22" t="n">
        <x:v>0.02</x:v>
      </x:c>
      <x:c r="I5" s="22" t="n">
        <x:v>1</x:v>
      </x:c>
      <x:c r="J5" s="22" t="n">
        <x:v>0.02</x:v>
      </x:c>
      <x:c r="K5" s="22" t="n">
        <x:v>0.01</x:v>
      </x:c>
      <x:c r="L5" s="22" t="n">
        <x:v>0</x:v>
      </x:c>
      <x:c r="M5" s="22" t="n">
        <x:v>0</x:v>
      </x:c>
      <x:c r="N5" s="22" t="str">
        <x:v>strong</x:v>
      </x:c>
      <x:c r="O5" s="22" t="n">
        <x:v>0</x:v>
      </x:c>
      <x:c r="P5" s="22" t="n">
        <x:v>0.2</x:v>
      </x:c>
      <x:c r="Q5" s="22" t="n">
        <x:v>0.1</x:v>
      </x:c>
      <x:c r="R5" s="22" t="n">
        <x:v>1</x:v>
      </x:c>
      <x:c r="S5" s="22" t="n">
        <x:v>1</x:v>
      </x:c>
      <x:c r="T5" s="22" t="n">
        <x:v>0.97304265</x:v>
      </x:c>
      <x:c r="U5" s="22" t="n">
        <x:v>0.18188256291998992</x:v>
      </x:c>
      <x:c r="V5" s="22" t="n">
        <x:v>0.339549</x:v>
      </x:c>
      <x:c r="W5" s="22" t="n">
        <x:v>0.40796200000000005</x:v>
      </x:c>
      <x:c r="X5" s="22" t="n">
        <x:v>0</x:v>
      </x:c>
      <x:c r="Y5" s="22" t="n">
        <x:v>0.055943999999999994</x:v>
      </x:c>
      <x:c r="Z5" s="22" t="n">
        <x:v>0.1</x:v>
      </x:c>
      <x:c r="AA5" s="22" t="n">
        <x:v>2.0583802129199897</x:v>
      </x:c>
      <x:c r="AB5" s="22" t="n">
        <x:v>12.765</x:v>
      </x:c>
      <x:c r="AC5" s="22" t="str">
        <x:v>Messaging, browsing, and mixed light apps.</x:v>
      </x:c>
    </x:row>
    <x:row r="6">
      <x:c r="A6" s="22" t="str">
        <x:v>Video streaming (Wi-Fi)</x:v>
      </x:c>
      <x:c r="B6" s="22" t="str">
        <x:v>Watching</x:v>
      </x:c>
      <x:c r="C6" s="22" t="n">
        <x:v>1</x:v>
      </x:c>
      <x:c r="D6" s="22" t="n">
        <x:v>0.65</x:v>
      </x:c>
      <x:c r="E6" s="22" t="n">
        <x:v>0.35</x:v>
      </x:c>
      <x:c r="F6" s="22" t="n">
        <x:v>1</x:v>
      </x:c>
      <x:c r="G6" s="22" t="n">
        <x:v>0.35</x:v>
      </x:c>
      <x:c r="H6" s="22" t="n">
        <x:v>0.02</x:v>
      </x:c>
      <x:c r="I6" s="22" t="n">
        <x:v>0</x:v>
      </x:c>
      <x:c r="J6" s="22" t="n">
        <x:v>0</x:v>
      </x:c>
      <x:c r="K6" s="22" t="n">
        <x:v>0</x:v>
      </x:c>
      <x:c r="L6" s="22" t="n">
        <x:v>0</x:v>
      </x:c>
      <x:c r="M6" s="22" t="n">
        <x:v>0</x:v>
      </x:c>
      <x:c r="N6" s="22" t="str">
        <x:v>strong</x:v>
      </x:c>
      <x:c r="O6" s="22" t="n">
        <x:v>1</x:v>
      </x:c>
      <x:c r="P6" s="22" t="n">
        <x:v>0.5</x:v>
      </x:c>
      <x:c r="Q6" s="22" t="n">
        <x:v>0.12</x:v>
      </x:c>
      <x:c r="R6" s="22" t="n">
        <x:v>1</x:v>
      </x:c>
      <x:c r="S6" s="22" t="n">
        <x:v>1</x:v>
      </x:c>
      <x:c r="T6" s="22" t="n">
        <x:v>1.2403195500000002</x:v>
      </x:c>
      <x:c r="U6" s="22" t="n">
        <x:v>0.32302665089018384</x:v>
      </x:c>
      <x:c r="V6" s="22" t="n">
        <x:v>0.458319</x:v>
      </x:c>
      <x:c r="W6" s="22" t="n">
        <x:v>0</x:v>
      </x:c>
      <x:c r="X6" s="22" t="n">
        <x:v>0</x:v>
      </x:c>
      <x:c r="Y6" s="22" t="n">
        <x:v>0.32830099999999995</x:v>
      </x:c>
      <x:c r="Z6" s="22" t="n">
        <x:v>0.12</x:v>
      </x:c>
      <x:c r="AA6" s="22" t="n">
        <x:v>2.469966200890184</x:v>
      </x:c>
      <x:c r="AB6" s="22" t="n">
        <x:v>12.765</x:v>
      </x:c>
      <x:c r="AC6" s="22" t="str">
        <x:v>Screen + video decoder + Wi-Fi RX dominate.</x:v>
      </x:c>
    </x:row>
    <x:row r="7">
      <x:c r="A7" s="22" t="str">
        <x:v>Mobile game</x:v>
      </x:c>
      <x:c r="B7" s="22" t="str">
        <x:v>High-load interactive app</x:v>
      </x:c>
      <x:c r="C7" s="22" t="n">
        <x:v>1</x:v>
      </x:c>
      <x:c r="D7" s="22" t="n">
        <x:v>0.75</x:v>
      </x:c>
      <x:c r="E7" s="22" t="n">
        <x:v>0.85</x:v>
      </x:c>
      <x:c r="F7" s="22" t="n">
        <x:v>1</x:v>
      </x:c>
      <x:c r="G7" s="22" t="n">
        <x:v>0.08</x:v>
      </x:c>
      <x:c r="H7" s="22" t="n">
        <x:v>0.05</x:v>
      </x:c>
      <x:c r="I7" s="22" t="n">
        <x:v>0</x:v>
      </x:c>
      <x:c r="J7" s="22" t="n">
        <x:v>0</x:v>
      </x:c>
      <x:c r="K7" s="22" t="n">
        <x:v>0</x:v>
      </x:c>
      <x:c r="L7" s="22" t="n">
        <x:v>0</x:v>
      </x:c>
      <x:c r="M7" s="22" t="n">
        <x:v>0</x:v>
      </x:c>
      <x:c r="N7" s="22" t="str">
        <x:v>strong</x:v>
      </x:c>
      <x:c r="O7" s="22" t="n">
        <x:v>0</x:v>
      </x:c>
      <x:c r="P7" s="22" t="n">
        <x:v>0.5</x:v>
      </x:c>
      <x:c r="Q7" s="22" t="n">
        <x:v>0.15</x:v>
      </x:c>
      <x:c r="R7" s="22" t="n">
        <x:v>1</x:v>
      </x:c>
      <x:c r="S7" s="22" t="n">
        <x:v>1</x:v>
      </x:c>
      <x:c r="T7" s="22" t="n">
        <x:v>1.32941185</x:v>
      </x:c>
      <x:c r="U7" s="22" t="n">
        <x:v>1.0149448346438743</x:v>
      </x:c>
      <x:c r="V7" s="22" t="n">
        <x:v>0.39260700000000004</x:v>
      </x:c>
      <x:c r="W7" s="22" t="n">
        <x:v>0</x:v>
      </x:c>
      <x:c r="X7" s="22" t="n">
        <x:v>0</x:v>
      </x:c>
      <x:c r="Y7" s="22" t="n">
        <x:v>0.13985999999999998</x:v>
      </x:c>
      <x:c r="Z7" s="22" t="n">
        <x:v>0.15</x:v>
      </x:c>
      <x:c r="AA7" s="22" t="n">
        <x:v>3.0268236846438743</x:v>
      </x:c>
      <x:c r="AB7" s="22" t="n">
        <x:v>12.765</x:v>
      </x:c>
      <x:c r="AC7" s="22" t="str">
        <x:v>High CPU/GPU-like load; GPU not separately modeled.</x:v>
      </x:c>
    </x:row>
    <x:row r="8">
      <x:c r="A8" s="22" t="str">
        <x:v>Navigation</x:v>
      </x:c>
      <x:c r="B8" s="22" t="str">
        <x:v>Maps / GPS / Communication</x:v>
      </x:c>
      <x:c r="C8" s="22" t="n">
        <x:v>1</x:v>
      </x:c>
      <x:c r="D8" s="22" t="n">
        <x:v>0.65</x:v>
      </x:c>
      <x:c r="E8" s="22" t="n">
        <x:v>0.45</x:v>
      </x:c>
      <x:c r="F8" s="22" t="n">
        <x:v>0</x:v>
      </x:c>
      <x:c r="G8" s="22" t="n">
        <x:v>0</x:v>
      </x:c>
      <x:c r="H8" s="22" t="n">
        <x:v>0</x:v>
      </x:c>
      <x:c r="I8" s="22" t="n">
        <x:v>1</x:v>
      </x:c>
      <x:c r="J8" s="22" t="n">
        <x:v>0.15</x:v>
      </x:c>
      <x:c r="K8" s="22" t="n">
        <x:v>0.02</x:v>
      </x:c>
      <x:c r="L8" s="22" t="n">
        <x:v>0.03</x:v>
      </x:c>
      <x:c r="M8" s="22" t="n">
        <x:v>1</x:v>
      </x:c>
      <x:c r="N8" s="22" t="str">
        <x:v>weak</x:v>
      </x:c>
      <x:c r="O8" s="22" t="n">
        <x:v>0</x:v>
      </x:c>
      <x:c r="P8" s="22" t="n">
        <x:v>0.2</x:v>
      </x:c>
      <x:c r="Q8" s="22" t="n">
        <x:v>0.12</x:v>
      </x:c>
      <x:c r="R8" s="22" t="n">
        <x:v>1</x:v>
      </x:c>
      <x:c r="S8" s="22" t="n">
        <x:v>1</x:v>
      </x:c>
      <x:c r="T8" s="22" t="n">
        <x:v>1.2403195500000002</x:v>
      </x:c>
      <x:c r="U8" s="22" t="n">
        <x:v>0.4367943123549659</x:v>
      </x:c>
      <x:c r="V8" s="22" t="n">
        <x:v>0</x:v>
      </x:c>
      <x:c r="W8" s="22" t="n">
        <x:v>0.565693</x:v>
      </x:c>
      <x:c r="X8" s="22" t="n">
        <x:v>0.18130000000000002</x:v>
      </x:c>
      <x:c r="Y8" s="22" t="n">
        <x:v>0.055943999999999994</x:v>
      </x:c>
      <x:c r="Z8" s="22" t="n">
        <x:v>0.12</x:v>
      </x:c>
      <x:c r="AA8" s="22" t="n">
        <x:v>2.6000508623549665</x:v>
      </x:c>
      <x:c r="AB8" s="22" t="n">
        <x:v>12.765</x:v>
      </x:c>
      <x:c r="AC8" s="22" t="str">
        <x:v>Screen, cellular data, and GPS simultaneously active.</x:v>
      </x:c>
    </x:row>
    <x:row r="9">
      <x:c r="A9" s="22" t="str">
        <x:v>Weak-signal social/video</x:v>
      </x:c>
      <x:c r="B9" s="22" t="str">
        <x:v>Communication under poor network</x:v>
      </x:c>
      <x:c r="C9" s="22" t="n">
        <x:v>1</x:v>
      </x:c>
      <x:c r="D9" s="22" t="n">
        <x:v>0.45</x:v>
      </x:c>
      <x:c r="E9" s="22" t="n">
        <x:v>0.3</x:v>
      </x:c>
      <x:c r="F9" s="22" t="n">
        <x:v>0</x:v>
      </x:c>
      <x:c r="G9" s="22" t="n">
        <x:v>0</x:v>
      </x:c>
      <x:c r="H9" s="22" t="n">
        <x:v>0</x:v>
      </x:c>
      <x:c r="I9" s="22" t="n">
        <x:v>1</x:v>
      </x:c>
      <x:c r="J9" s="22" t="n">
        <x:v>0.1</x:v>
      </x:c>
      <x:c r="K9" s="22" t="n">
        <x:v>0</x:v>
      </x:c>
      <x:c r="L9" s="22" t="n">
        <x:v>0.18</x:v>
      </x:c>
      <x:c r="M9" s="22" t="n">
        <x:v>0</x:v>
      </x:c>
      <x:c r="N9" s="22" t="str">
        <x:v>strong</x:v>
      </x:c>
      <x:c r="O9" s="22" t="n">
        <x:v>0</x:v>
      </x:c>
      <x:c r="P9" s="22" t="n">
        <x:v>0.2</x:v>
      </x:c>
      <x:c r="Q9" s="22" t="n">
        <x:v>0.15</x:v>
      </x:c>
      <x:c r="R9" s="22" t="n">
        <x:v>1</x:v>
      </x:c>
      <x:c r="S9" s="22" t="n">
        <x:v>1</x:v>
      </x:c>
      <x:c r="T9" s="22" t="n">
        <x:v>1.06213495</x:v>
      </x:c>
      <x:c r="U9" s="22" t="n">
        <x:v>0.2717314207018598</x:v>
      </x:c>
      <x:c r="V9" s="22" t="n">
        <x:v>0</x:v>
      </x:c>
      <x:c r="W9" s="22" t="n">
        <x:v>0.8555140000000001</x:v>
      </x:c>
      <x:c r="X9" s="22" t="n">
        <x:v>0</x:v>
      </x:c>
      <x:c r="Y9" s="22" t="n">
        <x:v>0.055943999999999994</x:v>
      </x:c>
      <x:c r="Z9" s="22" t="n">
        <x:v>0.15</x:v>
      </x:c>
      <x:c r="AA9" s="22" t="n">
        <x:v>2.3953243707018594</x:v>
      </x:c>
      <x:c r="AB9" s="22" t="n">
        <x:v>12.765</x:v>
      </x:c>
      <x:c r="AC9" s="22" t="str">
        <x:v>Uses high modem TX bin to represent poor-signal/high-transmit-power cost.</x:v>
      </x:c>
    </x:row>
    <x:row r="10">
      <x:c r="A10" s="22" t="str">
        <x:v>Cold aged light use</x:v>
      </x:c>
      <x:c r="B10" s="22" t="str">
        <x:v>Communication / Social Networking + degraded battery</x:v>
      </x:c>
      <x:c r="C10" s="22" t="n">
        <x:v>1</x:v>
      </x:c>
      <x:c r="D10" s="22" t="n">
        <x:v>0.35</x:v>
      </x:c>
      <x:c r="E10" s="22" t="n">
        <x:v>0.2</x:v>
      </x:c>
      <x:c r="F10" s="22" t="n">
        <x:v>1</x:v>
      </x:c>
      <x:c r="G10" s="22" t="n">
        <x:v>0.05</x:v>
      </x:c>
      <x:c r="H10" s="22" t="n">
        <x:v>0.02</x:v>
      </x:c>
      <x:c r="I10" s="22" t="n">
        <x:v>1</x:v>
      </x:c>
      <x:c r="J10" s="22" t="n">
        <x:v>0.02</x:v>
      </x:c>
      <x:c r="K10" s="22" t="n">
        <x:v>0.01</x:v>
      </x:c>
      <x:c r="L10" s="22" t="n">
        <x:v>0</x:v>
      </x:c>
      <x:c r="M10" s="22" t="n">
        <x:v>0</x:v>
      </x:c>
      <x:c r="N10" s="22" t="str">
        <x:v>strong</x:v>
      </x:c>
      <x:c r="O10" s="22" t="n">
        <x:v>0</x:v>
      </x:c>
      <x:c r="P10" s="22" t="n">
        <x:v>0.2</x:v>
      </x:c>
      <x:c r="Q10" s="22" t="n">
        <x:v>0.1</x:v>
      </x:c>
      <x:c r="R10" s="22" t="n">
        <x:v>0.9</x:v>
      </x:c>
      <x:c r="S10" s="22" t="n">
        <x:v>0.83</x:v>
      </x:c>
      <x:c r="T10" s="22" t="n">
        <x:v>0.97304265</x:v>
      </x:c>
      <x:c r="U10" s="22" t="n">
        <x:v>0.18188256291998992</x:v>
      </x:c>
      <x:c r="V10" s="22" t="n">
        <x:v>0.339549</x:v>
      </x:c>
      <x:c r="W10" s="22" t="n">
        <x:v>0.40796200000000005</x:v>
      </x:c>
      <x:c r="X10" s="22" t="n">
        <x:v>0</x:v>
      </x:c>
      <x:c r="Y10" s="22" t="n">
        <x:v>0.055943999999999994</x:v>
      </x:c>
      <x:c r="Z10" s="22" t="n">
        <x:v>0.1</x:v>
      </x:c>
      <x:c r="AA10" s="22" t="n">
        <x:v>2.0583802129199897</x:v>
      </x:c>
      <x:c r="AB10" s="22" t="n">
        <x:v>9.535454999999999</x:v>
      </x:c>
      <x:c r="AC10" s="22" t="str">
        <x:v>Same load as light use, but effective capacity reduced by temperature and aging.</x:v>
      </x:c>
    </x:row>
  </x:sheetData>
  <x:mergeCells>
    <x:mergeCell ref="A1:Z1"/>
  </x:mergeCells>
  <x:conditionalFormatting sqref="AA2:AA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{69E79C5A-3DD3-CB64-1D6A-FE6A1501BE63}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cf2292d6cbe414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E79C5A-3DD3-CB64-1D6A-FE6A1501BE63}">
            <x14:dataBar gradient="1">
              <x14:cfvo type="min"/>
              <x14:cfvo type="max"/>
              <x14:fillColor rgb="FF5B9BD5"/>
            </x14:dataBar>
          </x14:cfRule>
          <xm:sqref>AA2:AA8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</x:cols>
  <x:sheetData>
    <x:row r="1" ht="28" customHeight="1">
      <x:c r="A1" s="6" t="str">
        <x:v>基准TTE预测结果</x:v>
      </x:c>
      <x:c r="B1" s="28"/>
      <x:c r="C1" s="28"/>
      <x:c r="D1" s="28"/>
      <x:c r="E1" s="28"/>
      <x:c r="F1" s="28"/>
      <x:c r="G1" s="28"/>
    </x:row>
    <x:row r="2">
      <x:c r="A2" s="24" t="str">
        <x:v>TTE = (Initial_SOC - Shutdown_SOC) × E_effective_Wh / P_total_W。该表适合作为基准预测结果，不宜当作独立实测验证数据。</x:v>
      </x:c>
    </x:row>
    <x:row r="3">
      <x:c r="A3" s="16" t="str">
        <x:v>Scenario</x:v>
      </x:c>
      <x:c r="B3" s="16" t="str">
        <x:v>Initial_SOC</x:v>
      </x:c>
      <x:c r="C3" s="16" t="str">
        <x:v>Shutdown_SOC</x:v>
      </x:c>
      <x:c r="D3" s="16" t="str">
        <x:v>E_effective_Wh</x:v>
      </x:c>
      <x:c r="E3" s="16" t="str">
        <x:v>P_total_W</x:v>
      </x:c>
      <x:c r="F3" s="16" t="str">
        <x:v>Time_to_empty_hours</x:v>
      </x:c>
      <x:c r="G3" s="16" t="str">
        <x:v>Time_to_empty_minutes</x:v>
      </x:c>
    </x:row>
    <x:row r="4">
      <x:c r="A4" s="22" t="str">
        <x:v>Standby</x:v>
      </x:c>
      <x:c r="B4" s="22" t="n">
        <x:v>0.2</x:v>
      </x:c>
      <x:c r="C4" s="22" t="n">
        <x:v>0.03</x:v>
      </x:c>
      <x:c r="D4" s="22" t="n">
        <x:v>12.765</x:v>
      </x:c>
      <x:c r="E4" s="22" t="n">
        <x:v>0.8600120078649988</x:v>
      </x:c>
      <x:c r="F4" s="22" t="n">
        <x:v>2.5232787218718067</x:v>
      </x:c>
      <x:c r="G4" s="22" t="n">
        <x:v>151.3967233123084</x:v>
      </x:c>
    </x:row>
    <x:row r="5">
      <x:c r="A5" s="22" t="str">
        <x:v>Standby</x:v>
      </x:c>
      <x:c r="B5" s="22" t="n">
        <x:v>0.5</x:v>
      </x:c>
      <x:c r="C5" s="22" t="n">
        <x:v>0.03</x:v>
      </x:c>
      <x:c r="D5" s="22" t="n">
        <x:v>12.765</x:v>
      </x:c>
      <x:c r="E5" s="22" t="n">
        <x:v>0.8600120078649988</x:v>
      </x:c>
      <x:c r="F5" s="22" t="n">
        <x:v>6.9761235251749945</x:v>
      </x:c>
      <x:c r="G5" s="22" t="n">
        <x:v>418.56741151049965</x:v>
      </x:c>
    </x:row>
    <x:row r="6">
      <x:c r="A6" s="22" t="str">
        <x:v>Standby</x:v>
      </x:c>
      <x:c r="B6" s="22" t="n">
        <x:v>0.8</x:v>
      </x:c>
      <x:c r="C6" s="22" t="n">
        <x:v>0.03</x:v>
      </x:c>
      <x:c r="D6" s="22" t="n">
        <x:v>12.765</x:v>
      </x:c>
      <x:c r="E6" s="22" t="n">
        <x:v>0.8600120078649988</x:v>
      </x:c>
      <x:c r="F6" s="22" t="n">
        <x:v>11.428968328478183</x:v>
      </x:c>
      <x:c r="G6" s="22" t="n">
        <x:v>685.7380997086909</x:v>
      </x:c>
    </x:row>
    <x:row r="7">
      <x:c r="A7" s="22" t="str">
        <x:v>Standby</x:v>
      </x:c>
      <x:c r="B7" s="22" t="n">
        <x:v>1</x:v>
      </x:c>
      <x:c r="C7" s="22" t="n">
        <x:v>0.03</x:v>
      </x:c>
      <x:c r="D7" s="22" t="n">
        <x:v>12.765</x:v>
      </x:c>
      <x:c r="E7" s="22" t="n">
        <x:v>0.8600120078649988</x:v>
      </x:c>
      <x:c r="F7" s="22" t="n">
        <x:v>14.397531530680306</x:v>
      </x:c>
      <x:c r="G7" s="22" t="n">
        <x:v>863.8518918408183</x:v>
      </x:c>
    </x:row>
    <x:row r="8">
      <x:c r="A8" s="22" t="str">
        <x:v>Light daily use</x:v>
      </x:c>
      <x:c r="B8" s="22" t="n">
        <x:v>0.2</x:v>
      </x:c>
      <x:c r="C8" s="22" t="n">
        <x:v>0.03</x:v>
      </x:c>
      <x:c r="D8" s="22" t="n">
        <x:v>12.765</x:v>
      </x:c>
      <x:c r="E8" s="22" t="n">
        <x:v>2.0583802129199897</x:v>
      </x:c>
      <x:c r="F8" s="22" t="n">
        <x:v>1.0542512925353074</x:v>
      </x:c>
      <x:c r="G8" s="22" t="n">
        <x:v>63.25507755211844</x:v>
      </x:c>
    </x:row>
    <x:row r="9">
      <x:c r="A9" s="22" t="str">
        <x:v>Light daily use</x:v>
      </x:c>
      <x:c r="B9" s="22" t="n">
        <x:v>0.5</x:v>
      </x:c>
      <x:c r="C9" s="22" t="n">
        <x:v>0.03</x:v>
      </x:c>
      <x:c r="D9" s="22" t="n">
        <x:v>12.765</x:v>
      </x:c>
      <x:c r="E9" s="22" t="n">
        <x:v>2.0583802129199897</x:v>
      </x:c>
      <x:c r="F9" s="22" t="n">
        <x:v>2.9146947499505553</x:v>
      </x:c>
      <x:c r="G9" s="22" t="n">
        <x:v>174.88168499703332</x:v>
      </x:c>
    </x:row>
    <x:row r="10">
      <x:c r="A10" s="22" t="str">
        <x:v>Light daily use</x:v>
      </x:c>
      <x:c r="B10" s="22" t="n">
        <x:v>0.8</x:v>
      </x:c>
      <x:c r="C10" s="22" t="n">
        <x:v>0.03</x:v>
      </x:c>
      <x:c r="D10" s="22" t="n">
        <x:v>12.765</x:v>
      </x:c>
      <x:c r="E10" s="22" t="n">
        <x:v>2.0583802129199897</x:v>
      </x:c>
      <x:c r="F10" s="22" t="n">
        <x:v>4.775138207365804</x:v>
      </x:c>
      <x:c r="G10" s="22" t="n">
        <x:v>286.50829244194824</x:v>
      </x:c>
    </x:row>
    <x:row r="11">
      <x:c r="A11" s="22" t="str">
        <x:v>Light daily use</x:v>
      </x:c>
      <x:c r="B11" s="22" t="n">
        <x:v>1</x:v>
      </x:c>
      <x:c r="C11" s="22" t="n">
        <x:v>0.03</x:v>
      </x:c>
      <x:c r="D11" s="22" t="n">
        <x:v>12.765</x:v>
      </x:c>
      <x:c r="E11" s="22" t="n">
        <x:v>2.0583802129199897</x:v>
      </x:c>
      <x:c r="F11" s="22" t="n">
        <x:v>6.015433845642635</x:v>
      </x:c>
      <x:c r="G11" s="22" t="n">
        <x:v>360.9260307385581</x:v>
      </x:c>
    </x:row>
    <x:row r="12">
      <x:c r="A12" s="22" t="str">
        <x:v>Video streaming (Wi-Fi)</x:v>
      </x:c>
      <x:c r="B12" s="22" t="n">
        <x:v>0.2</x:v>
      </x:c>
      <x:c r="C12" s="22" t="n">
        <x:v>0.03</x:v>
      </x:c>
      <x:c r="D12" s="22" t="n">
        <x:v>12.765</x:v>
      </x:c>
      <x:c r="E12" s="22" t="n">
        <x:v>2.469966200890184</x:v>
      </x:c>
      <x:c r="F12" s="22" t="n">
        <x:v>0.878574775321989</x:v>
      </x:c>
      <x:c r="G12" s="22" t="n">
        <x:v>52.714486519319344</x:v>
      </x:c>
    </x:row>
    <x:row r="13">
      <x:c r="A13" s="22" t="str">
        <x:v>Video streaming (Wi-Fi)</x:v>
      </x:c>
      <x:c r="B13" s="22" t="n">
        <x:v>0.5</x:v>
      </x:c>
      <x:c r="C13" s="22" t="n">
        <x:v>0.03</x:v>
      </x:c>
      <x:c r="D13" s="22" t="n">
        <x:v>12.765</x:v>
      </x:c>
      <x:c r="E13" s="22" t="n">
        <x:v>2.469966200890184</x:v>
      </x:c>
      <x:c r="F13" s="22" t="n">
        <x:v>2.4290008494196167</x:v>
      </x:c>
      <x:c r="G13" s="22" t="n">
        <x:v>145.740050965177</x:v>
      </x:c>
    </x:row>
    <x:row r="14">
      <x:c r="A14" s="22" t="str">
        <x:v>Video streaming (Wi-Fi)</x:v>
      </x:c>
      <x:c r="B14" s="22" t="n">
        <x:v>0.8</x:v>
      </x:c>
      <x:c r="C14" s="22" t="n">
        <x:v>0.03</x:v>
      </x:c>
      <x:c r="D14" s="22" t="n">
        <x:v>12.765</x:v>
      </x:c>
      <x:c r="E14" s="22" t="n">
        <x:v>2.469966200890184</x:v>
      </x:c>
      <x:c r="F14" s="22" t="n">
        <x:v>3.979426923517244</x:v>
      </x:c>
      <x:c r="G14" s="22" t="n">
        <x:v>238.76561541103464</x:v>
      </x:c>
    </x:row>
    <x:row r="15">
      <x:c r="A15" s="22" t="str">
        <x:v>Video streaming (Wi-Fi)</x:v>
      </x:c>
      <x:c r="B15" s="22" t="n">
        <x:v>1</x:v>
      </x:c>
      <x:c r="C15" s="22" t="n">
        <x:v>0.03</x:v>
      </x:c>
      <x:c r="D15" s="22" t="n">
        <x:v>12.765</x:v>
      </x:c>
      <x:c r="E15" s="22" t="n">
        <x:v>2.469966200890184</x:v>
      </x:c>
      <x:c r="F15" s="22" t="n">
        <x:v>5.013044306248996</x:v>
      </x:c>
      <x:c r="G15" s="22" t="n">
        <x:v>300.78265837493973</x:v>
      </x:c>
    </x:row>
    <x:row r="16">
      <x:c r="A16" s="22" t="str">
        <x:v>Mobile game</x:v>
      </x:c>
      <x:c r="B16" s="22" t="n">
        <x:v>0.2</x:v>
      </x:c>
      <x:c r="C16" s="22" t="n">
        <x:v>0.03</x:v>
      </x:c>
      <x:c r="D16" s="22" t="n">
        <x:v>12.765</x:v>
      </x:c>
      <x:c r="E16" s="22" t="n">
        <x:v>3.0268236846438743</x:v>
      </x:c>
      <x:c r="F16" s="22" t="n">
        <x:v>0.7169396787164763</x:v>
      </x:c>
      <x:c r="G16" s="22" t="n">
        <x:v>43.01638072298858</x:v>
      </x:c>
    </x:row>
    <x:row r="17">
      <x:c r="A17" s="22" t="str">
        <x:v>Mobile game</x:v>
      </x:c>
      <x:c r="B17" s="22" t="n">
        <x:v>0.5</x:v>
      </x:c>
      <x:c r="C17" s="22" t="n">
        <x:v>0.03</x:v>
      </x:c>
      <x:c r="D17" s="22" t="n">
        <x:v>12.765</x:v>
      </x:c>
      <x:c r="E17" s="22" t="n">
        <x:v>3.0268236846438743</x:v>
      </x:c>
      <x:c r="F17" s="22" t="n">
        <x:v>1.9821273470396696</x:v>
      </x:c>
      <x:c r="G17" s="22" t="n">
        <x:v>118.92764082238018</x:v>
      </x:c>
    </x:row>
    <x:row r="18">
      <x:c r="A18" s="22" t="str">
        <x:v>Mobile game</x:v>
      </x:c>
      <x:c r="B18" s="22" t="n">
        <x:v>0.8</x:v>
      </x:c>
      <x:c r="C18" s="22" t="n">
        <x:v>0.03</x:v>
      </x:c>
      <x:c r="D18" s="22" t="n">
        <x:v>12.765</x:v>
      </x:c>
      <x:c r="E18" s="22" t="n">
        <x:v>3.0268236846438743</x:v>
      </x:c>
      <x:c r="F18" s="22" t="n">
        <x:v>3.247315015362863</x:v>
      </x:c>
      <x:c r="G18" s="22" t="n">
        <x:v>194.83890092177177</x:v>
      </x:c>
    </x:row>
    <x:row r="19">
      <x:c r="A19" s="22" t="str">
        <x:v>Mobile game</x:v>
      </x:c>
      <x:c r="B19" s="22" t="n">
        <x:v>1</x:v>
      </x:c>
      <x:c r="C19" s="22" t="n">
        <x:v>0.03</x:v>
      </x:c>
      <x:c r="D19" s="22" t="n">
        <x:v>12.765</x:v>
      </x:c>
      <x:c r="E19" s="22" t="n">
        <x:v>3.0268236846438743</x:v>
      </x:c>
      <x:c r="F19" s="22" t="n">
        <x:v>4.090773460911659</x:v>
      </x:c>
      <x:c r="G19" s="22" t="n">
        <x:v>245.44640765469953</x:v>
      </x:c>
    </x:row>
    <x:row r="20">
      <x:c r="A20" s="22" t="str">
        <x:v>Navigation</x:v>
      </x:c>
      <x:c r="B20" s="22" t="n">
        <x:v>0.2</x:v>
      </x:c>
      <x:c r="C20" s="22" t="n">
        <x:v>0.03</x:v>
      </x:c>
      <x:c r="D20" s="22" t="n">
        <x:v>12.765</x:v>
      </x:c>
      <x:c r="E20" s="22" t="n">
        <x:v>2.6000508623549665</x:v>
      </x:c>
      <x:c r="F20" s="22" t="n">
        <x:v>0.8346182882109091</x:v>
      </x:c>
      <x:c r="G20" s="22" t="n">
        <x:v>50.07709729265455</x:v>
      </x:c>
    </x:row>
    <x:row r="21">
      <x:c r="A21" s="22" t="str">
        <x:v>Navigation</x:v>
      </x:c>
      <x:c r="B21" s="22" t="n">
        <x:v>0.5</x:v>
      </x:c>
      <x:c r="C21" s="22" t="n">
        <x:v>0.03</x:v>
      </x:c>
      <x:c r="D21" s="22" t="n">
        <x:v>12.765</x:v>
      </x:c>
      <x:c r="E21" s="22" t="n">
        <x:v>2.6000508623549665</x:v>
      </x:c>
      <x:c r="F21" s="22" t="n">
        <x:v>2.3074740909360427</x:v>
      </x:c>
      <x:c r="G21" s="22" t="n">
        <x:v>138.44844545616257</x:v>
      </x:c>
    </x:row>
    <x:row r="22">
      <x:c r="A22" s="22" t="str">
        <x:v>Navigation</x:v>
      </x:c>
      <x:c r="B22" s="22" t="n">
        <x:v>0.8</x:v>
      </x:c>
      <x:c r="C22" s="22" t="n">
        <x:v>0.03</x:v>
      </x:c>
      <x:c r="D22" s="22" t="n">
        <x:v>12.765</x:v>
      </x:c>
      <x:c r="E22" s="22" t="n">
        <x:v>2.6000508623549665</x:v>
      </x:c>
      <x:c r="F22" s="22" t="n">
        <x:v>3.780329893661176</x:v>
      </x:c>
      <x:c r="G22" s="22" t="n">
        <x:v>226.81979361967058</x:v>
      </x:c>
    </x:row>
    <x:row r="23">
      <x:c r="A23" s="22" t="str">
        <x:v>Navigation</x:v>
      </x:c>
      <x:c r="B23" s="22" t="n">
        <x:v>1</x:v>
      </x:c>
      <x:c r="C23" s="22" t="n">
        <x:v>0.03</x:v>
      </x:c>
      <x:c r="D23" s="22" t="n">
        <x:v>12.765</x:v>
      </x:c>
      <x:c r="E23" s="22" t="n">
        <x:v>2.6000508623549665</x:v>
      </x:c>
      <x:c r="F23" s="22" t="n">
        <x:v>4.762233762144598</x:v>
      </x:c>
      <x:c r="G23" s="22" t="n">
        <x:v>285.7340257286759</x:v>
      </x:c>
    </x:row>
    <x:row r="24">
      <x:c r="A24" s="22" t="str">
        <x:v>Weak-signal social/video</x:v>
      </x:c>
      <x:c r="B24" s="22" t="n">
        <x:v>0.2</x:v>
      </x:c>
      <x:c r="C24" s="22" t="n">
        <x:v>0.03</x:v>
      </x:c>
      <x:c r="D24" s="22" t="n">
        <x:v>12.765</x:v>
      </x:c>
      <x:c r="E24" s="22" t="n">
        <x:v>2.3953243707018594</x:v>
      </x:c>
      <x:c r="F24" s="22" t="n">
        <x:v>0.9059524574386345</x:v>
      </x:c>
      <x:c r="G24" s="22" t="n">
        <x:v>54.35714744631807</x:v>
      </x:c>
    </x:row>
    <x:row r="25">
      <x:c r="A25" s="22" t="str">
        <x:v>Weak-signal social/video</x:v>
      </x:c>
      <x:c r="B25" s="22" t="n">
        <x:v>0.5</x:v>
      </x:c>
      <x:c r="C25" s="22" t="n">
        <x:v>0.03</x:v>
      </x:c>
      <x:c r="D25" s="22" t="n">
        <x:v>12.765</x:v>
      </x:c>
      <x:c r="E25" s="22" t="n">
        <x:v>2.3953243707018594</x:v>
      </x:c>
      <x:c r="F25" s="22" t="n">
        <x:v>2.5046920882126953</x:v>
      </x:c>
      <x:c r="G25" s="22" t="n">
        <x:v>150.28152529276173</x:v>
      </x:c>
    </x:row>
    <x:row r="26">
      <x:c r="A26" s="22" t="str">
        <x:v>Weak-signal social/video</x:v>
      </x:c>
      <x:c r="B26" s="22" t="n">
        <x:v>0.8</x:v>
      </x:c>
      <x:c r="C26" s="22" t="n">
        <x:v>0.03</x:v>
      </x:c>
      <x:c r="D26" s="22" t="n">
        <x:v>12.765</x:v>
      </x:c>
      <x:c r="E26" s="22" t="n">
        <x:v>2.3953243707018594</x:v>
      </x:c>
      <x:c r="F26" s="22" t="n">
        <x:v>4.103431718986756</x:v>
      </x:c>
      <x:c r="G26" s="22" t="n">
        <x:v>246.20590313920536</x:v>
      </x:c>
    </x:row>
    <x:row r="27">
      <x:c r="A27" s="22" t="str">
        <x:v>Weak-signal social/video</x:v>
      </x:c>
      <x:c r="B27" s="22" t="n">
        <x:v>1</x:v>
      </x:c>
      <x:c r="C27" s="22" t="n">
        <x:v>0.03</x:v>
      </x:c>
      <x:c r="D27" s="22" t="n">
        <x:v>12.765</x:v>
      </x:c>
      <x:c r="E27" s="22" t="n">
        <x:v>2.3953243707018594</x:v>
      </x:c>
      <x:c r="F27" s="22" t="n">
        <x:v>5.169258139502796</x:v>
      </x:c>
      <x:c r="G27" s="22" t="n">
        <x:v>310.15548837016775</x:v>
      </x:c>
    </x:row>
    <x:row r="28">
      <x:c r="A28" s="22" t="str">
        <x:v>Cold aged light use</x:v>
      </x:c>
      <x:c r="B28" s="22" t="n">
        <x:v>0.2</x:v>
      </x:c>
      <x:c r="C28" s="22" t="n">
        <x:v>0.03</x:v>
      </x:c>
      <x:c r="D28" s="22" t="n">
        <x:v>9.535454999999999</x:v>
      </x:c>
      <x:c r="E28" s="22" t="n">
        <x:v>2.0583802129199897</x:v>
      </x:c>
      <x:c r="F28" s="22" t="n">
        <x:v>0.7875257155238744</x:v>
      </x:c>
      <x:c r="G28" s="22" t="n">
        <x:v>47.25154293143247</x:v>
      </x:c>
    </x:row>
    <x:row r="29">
      <x:c r="A29" s="22" t="str">
        <x:v>Cold aged light use</x:v>
      </x:c>
      <x:c r="B29" s="22" t="n">
        <x:v>0.5</x:v>
      </x:c>
      <x:c r="C29" s="22" t="n">
        <x:v>0.03</x:v>
      </x:c>
      <x:c r="D29" s="22" t="n">
        <x:v>9.535454999999999</x:v>
      </x:c>
      <x:c r="E29" s="22" t="n">
        <x:v>2.0583802129199897</x:v>
      </x:c>
      <x:c r="F29" s="22" t="n">
        <x:v>2.1772769782130643</x:v>
      </x:c>
      <x:c r="G29" s="22" t="n">
        <x:v>130.63661869278386</x:v>
      </x:c>
    </x:row>
    <x:row r="30">
      <x:c r="A30" s="22" t="str">
        <x:v>Cold aged light use</x:v>
      </x:c>
      <x:c r="B30" s="22" t="n">
        <x:v>0.8</x:v>
      </x:c>
      <x:c r="C30" s="22" t="n">
        <x:v>0.03</x:v>
      </x:c>
      <x:c r="D30" s="22" t="n">
        <x:v>9.535454999999999</x:v>
      </x:c>
      <x:c r="E30" s="22" t="n">
        <x:v>2.0583802129199897</x:v>
      </x:c>
      <x:c r="F30" s="22" t="n">
        <x:v>3.5670282409022547</x:v>
      </x:c>
      <x:c r="G30" s="22" t="n">
        <x:v>214.0216944541353</x:v>
      </x:c>
    </x:row>
    <x:row r="31">
      <x:c r="A31" s="22" t="str">
        <x:v>Cold aged light use</x:v>
      </x:c>
      <x:c r="B31" s="22" t="n">
        <x:v>1</x:v>
      </x:c>
      <x:c r="C31" s="22" t="n">
        <x:v>0.03</x:v>
      </x:c>
      <x:c r="D31" s="22" t="n">
        <x:v>9.535454999999999</x:v>
      </x:c>
      <x:c r="E31" s="22" t="n">
        <x:v>2.0583802129199897</x:v>
      </x:c>
      <x:c r="F31" s="22" t="n">
        <x:v>4.493529082695048</x:v>
      </x:c>
      <x:c r="G31" s="22" t="n">
        <x:v>269.61174496170287</x:v>
      </x:c>
    </x:row>
  </x:sheetData>
  <x:mergeCells>
    <x:mergeCell ref="A1:G1"/>
  </x:mergeCells>
  <x:conditionalFormatting sqref="F2:F2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{50D1E6FE-BA7C-A5E4-919E-A62C1B7DD0A3}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4d54cbea4143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D1E6FE-BA7C-A5E4-919E-A62C1B7DD0A3}">
            <x14:dataBar gradient="1">
              <x14:cfvo type="min"/>
              <x14:cfvo type="max"/>
              <x14:fillColor rgb="FF70AD47"/>
            </x14:dataBar>
          </x14:cfRule>
          <xm:sqref>F2:F29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参数敏感性分析结果</x:v>
      </x:c>
      <x:c r="B1" s="28"/>
      <x:c r="C1" s="28"/>
      <x:c r="D1" s="28"/>
      <x:c r="E1" s="28"/>
      <x:c r="F1" s="28"/>
      <x:c r="G1" s="28"/>
    </x:row>
    <x:row r="2">
      <x:c r="A2" s="24" t="str">
        <x:v>用于识别亮度/CPU/网络/GPS/容量等对TTE的影响程度。</x:v>
      </x:c>
    </x:row>
    <x:row r="3">
      <x:c r="A3" s="16" t="str">
        <x:v>Parameter_or_component</x:v>
      </x:c>
      <x:c r="B3" s="16" t="str">
        <x:v>Base_value_W_or_Wh</x:v>
      </x:c>
      <x:c r="C3" s="16" t="str">
        <x:v>Base_TTE_hours_at_100pct</x:v>
      </x:c>
      <x:c r="D3" s="16" t="str">
        <x:v>TTE_if_minus10pct</x:v>
      </x:c>
      <x:c r="E3" s="16" t="str">
        <x:v>TTE_if_plus10pct</x:v>
      </x:c>
      <x:c r="F3" s="16" t="str">
        <x:v>Pct_change_TTE_plus10pct</x:v>
      </x:c>
      <x:c r="G3" s="16" t="str">
        <x:v>Pct_change_TTE_minus10pct</x:v>
      </x:c>
    </x:row>
    <x:row r="4">
      <x:c r="A4" s="22" t="str">
        <x:v>Screen power</x:v>
      </x:c>
      <x:c r="B4" s="22" t="n">
        <x:v>0.97304265</x:v>
      </x:c>
      <x:c r="C4" s="22" t="n">
        <x:v>6.015433845642635</x:v>
      </x:c>
      <x:c r="D4" s="22" t="n">
        <x:v>6.31390641098474</x:v>
      </x:c>
      <x:c r="E4" s="22" t="n">
        <x:v>5.743906460720719</x:v>
      </x:c>
      <x:c r="F4" s="22" t="n">
        <x:v>-0.04513845416463191</x:v>
      </x:c>
      <x:c r="G4" s="22" t="n">
        <x:v>0.049617795324656065</x:v>
      </x:c>
    </x:row>
    <x:row r="5">
      <x:c r="A5" s="22" t="str">
        <x:v>CPU power</x:v>
      </x:c>
      <x:c r="B5" s="22" t="n">
        <x:v>0.18188256291998992</x:v>
      </x:c>
      <x:c r="C5" s="22" t="n">
        <x:v>6.015433845642635</x:v>
      </x:c>
      <x:c r="D5" s="22" t="n">
        <x:v>6.069061276207035</x:v>
      </x:c>
      <x:c r="E5" s="22" t="n">
        <x:v>5.9627458393889174</x:v>
      </x:c>
      <x:c r="F5" s="22" t="n">
        <x:v>-0.0087588040373651</x:v>
      </x:c>
      <x:c r="G5" s="22" t="n">
        <x:v>0.008914973041095876</x:v>
      </x:c>
    </x:row>
    <x:row r="6">
      <x:c r="A6" s="22" t="str">
        <x:v>Wi-Fi power</x:v>
      </x:c>
      <x:c r="B6" s="22" t="n">
        <x:v>0.339549</x:v>
      </x:c>
      <x:c r="C6" s="22" t="n">
        <x:v>6.015433845642635</x:v>
      </x:c>
      <x:c r="D6" s="22" t="n">
        <x:v>6.1163283826659836</x:v>
      </x:c>
      <x:c r="E6" s="22" t="n">
        <x:v>5.917813988563259</x:v>
      </x:c>
      <x:c r="F6" s="22" t="n">
        <x:v>-0.016228232174822867</x:v>
      </x:c>
      <x:c r="G6" s="22" t="n">
        <x:v>0.01677261185349634</x:v>
      </x:c>
    </x:row>
    <x:row r="7">
      <x:c r="A7" s="22" t="str">
        <x:v>Modem power</x:v>
      </x:c>
      <x:c r="B7" s="22" t="n">
        <x:v>0.40796200000000005</x:v>
      </x:c>
      <x:c r="C7" s="22" t="n">
        <x:v>6.015433845642635</x:v>
      </x:c>
      <x:c r="D7" s="22" t="n">
        <x:v>6.13706785973181</x:v>
      </x:c>
      <x:c r="E7" s="22" t="n">
        <x:v>5.8985275957709336</x:v>
      </x:c>
      <x:c r="F7" s="22" t="n">
        <x:v>-0.019434383765417684</x:v>
      </x:c>
      <x:c r="G7" s="22" t="n">
        <x:v>0.020220322791394792</x:v>
      </x:c>
    </x:row>
    <x:row r="8">
      <x:c r="A8" s="22" t="str">
        <x:v>GPS power</x:v>
      </x:c>
      <x:c r="B8" s="22" t="n">
        <x:v>0</x:v>
      </x:c>
      <x:c r="C8" s="22" t="n">
        <x:v>6.015433845642635</x:v>
      </x:c>
      <x:c r="D8" s="22" t="n">
        <x:v>6.015433845642635</x:v>
      </x:c>
      <x:c r="E8" s="22" t="n">
        <x:v>6.015433845642635</x:v>
      </x:c>
      <x:c r="F8" s="22" t="n">
        <x:v>0</x:v>
      </x:c>
      <x:c r="G8" s="22" t="n">
        <x:v>0</x:v>
      </x:c>
    </x:row>
    <x:row r="9">
      <x:c r="A9" s="22" t="str">
        <x:v>Media power</x:v>
      </x:c>
      <x:c r="B9" s="22" t="n">
        <x:v>0.055943999999999994</x:v>
      </x:c>
      <x:c r="C9" s="22" t="n">
        <x:v>6.015433845642635</x:v>
      </x:c>
      <x:c r="D9" s="22" t="n">
        <x:v>6.031827539955143</x:v>
      </x:c>
      <x:c r="E9" s="22" t="n">
        <x:v>5.999129021496347</x:v>
      </x:c>
      <x:c r="F9" s="22" t="n">
        <x:v>-0.0027104984552525015</x:v>
      </x:c>
      <x:c r="G9" s="22" t="n">
        <x:v>0.0027252721471424405</x:v>
      </x:c>
    </x:row>
    <x:row r="10">
      <x:c r="A10" s="22" t="str">
        <x:v>Background power</x:v>
      </x:c>
      <x:c r="B10" s="22" t="n">
        <x:v>0.1</x:v>
      </x:c>
      <x:c r="C10" s="22" t="n">
        <x:v>6.015433845642635</x:v>
      </x:c>
      <x:c r="D10" s="22" t="n">
        <x:v>6.044800629249021</x:v>
      </x:c>
      <x:c r="E10" s="22" t="n">
        <x:v>5.986351021275686</x:v>
      </x:c>
      <x:c r="F10" s="22" t="n">
        <x:v>-0.004834701056186548</x:v>
      </x:c>
      <x:c r="G10" s="22" t="n">
        <x:v>0.004881906170019424</x:v>
      </x:c>
    </x:row>
    <x:row r="11">
      <x:c r="A11" s="22" t="str">
        <x:v>Effective capacity</x:v>
      </x:c>
      <x:c r="B11" s="22" t="n">
        <x:v>12.765</x:v>
      </x:c>
      <x:c r="C11" s="22" t="n">
        <x:v>6.015433845642635</x:v>
      </x:c>
      <x:c r="D11" s="22" t="n">
        <x:v>5.413890461078372</x:v>
      </x:c>
      <x:c r="E11" s="22" t="n">
        <x:v>6.616977230206898</x:v>
      </x:c>
      <x:c r="F11" s="22" t="n">
        <x:v>0.1</x:v>
      </x:c>
      <x:c r="G11" s="22" t="n">
        <x:v>-0.09999999999999985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745e55e625540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60" hidden="0" customWidth="1"/>
    <x:col min="4" max="4" width="24" hidden="0" customWidth="1"/>
    <x:col min="5" max="5" width="38" hidden="0" customWidth="1"/>
    <x:col min="6" max="6" width="48" hidden="0" customWidth="1"/>
  </x:cols>
  <x:sheetData>
    <x:row r="1" ht="28" customHeight="1">
      <x:c r="A1" s="6" t="str">
        <x:v>外部公开数据提取计划</x:v>
      </x:c>
    </x:row>
    <x:row r="3">
      <x:c r="A3" s="16" t="str">
        <x:v>数据源</x:v>
      </x:c>
      <x:c r="B3" s="16" t="str">
        <x:v>建议下载/提取对象</x:v>
      </x:c>
      <x:c r="C3" s="16" t="str">
        <x:v>核心字段</x:v>
      </x:c>
      <x:c r="D3" s="16" t="str">
        <x:v>整理后目标Sheet</x:v>
      </x:c>
      <x:c r="E3" s="16" t="str">
        <x:v>用于拟合/验证</x:v>
      </x:c>
      <x:c r="F3" s="16" t="str">
        <x:v>备注</x:v>
      </x:c>
    </x:row>
    <x:row r="4">
      <x:c r="A4" s="22" t="str">
        <x:v>NASA Li-ion Battery Aging Dataset</x:v>
      </x:c>
      <x:c r="B4" s="22" t="str">
        <x:v>单个或多个放电cycle</x:v>
      </x:c>
      <x:c r="C4" s="22" t="str">
        <x:v>cycle_id, time_s, voltage_V, current_A, temperature_C, capacity_Ah, operation_type, ambient_temp_C</x:v>
      </x:c>
      <x:c r="D4" s="22" t="str">
        <x:v>09_电池动态数据模板</x:v>
      </x:c>
      <x:c r="E4" s="22" t="str">
        <x:v>SOC曲线、端电压、温升、TTE、SOH容量衰减</x:v>
      </x:c>
      <x:c r="F4" s="22" t="str">
        <x:v>选择放电周期用于TTE，循环容量用于SOH。</x:v>
      </x:c>
    </x:row>
    <x:row r="5">
      <x:c r="A5" s="22" t="str">
        <x:v>CALCE Battery Data</x:v>
      </x:c>
      <x:c r="B5" s="22" t="str">
        <x:v>OCV测量、HPPC/动态放电、阻抗数据</x:v>
      </x:c>
      <x:c r="C5" s="22" t="str">
        <x:v>SOC, OCV_V, time_s, current_A, voltage_V, impedance, temperature_C</x:v>
      </x:c>
      <x:c r="D5" s="22" t="str">
        <x:v>10_2RC参数模板</x:v>
      </x:c>
      <x:c r="E5" s="22" t="str">
        <x:v>U_oc(z), R0, R1C1, R2C2拟合</x:v>
      </x:c>
      <x:c r="F5" s="22" t="str">
        <x:v>优先选同一化学体系与温度条件下的数据。</x:v>
      </x:c>
    </x:row>
    <x:row r="6">
      <x:c r="A6" s="22" t="str">
        <x:v>TU Berlin Drive Cycle Dataset</x:v>
      </x:c>
      <x:c r="B6" s="22" t="str">
        <x:v>不同温度下drive cycle数据</x:v>
      </x:c>
      <x:c r="C6" s="22" t="str">
        <x:v>time_s, voltage_V, current_A, temperature_C, reference_SOC, ambient_temp_C, cycle_type</x:v>
      </x:c>
      <x:c r="D6" s="22" t="str">
        <x:v>09_电池动态数据模板</x:v>
      </x:c>
      <x:c r="E6" s="22" t="str">
        <x:v>温度影响、SOC估计、f_T(T)</x:v>
      </x:c>
      <x:c r="F6" s="22" t="str">
        <x:v>可对比不同温度下同类工况SOC与电压差异。</x:v>
      </x:c>
    </x:row>
    <x:row r="7">
      <x:c r="A7" s="22" t="str">
        <x:v>Oxford Battery Degradation Dataset</x:v>
      </x:c>
      <x:c r="B7" s="22" t="str">
        <x:v>长期循环容量数据</x:v>
      </x:c>
      <x:c r="C7" s="22" t="str">
        <x:v>cell_id, cycle_index, capacity_Ah, voltage_curve, current_A, temperature_C</x:v>
      </x:c>
      <x:c r="D7" s="22" t="str">
        <x:v>11_SOH老化模板</x:v>
      </x:c>
      <x:c r="E7" s="22" t="str">
        <x:v>SOH容量衰减趋势</x:v>
      </x:c>
      <x:c r="F7" s="22" t="str">
        <x:v>适合老化模型趋势验证。</x:v>
      </x:c>
    </x:row>
    <x:row r="8">
      <x:c r="A8" s="22" t="str">
        <x:v>MIT-Stanford-Toyota Dataset</x:v>
      </x:c>
      <x:c r="B8" s="22" t="str">
        <x:v>电池循环寿命与早期循环特征</x:v>
      </x:c>
      <x:c r="C8" s="22" t="str">
        <x:v>cell_id, cycle_life, cycle_index, capacity_Ah, charge_policy, voltage_curve</x:v>
      </x:c>
      <x:c r="D8" s="22" t="str">
        <x:v>11_SOH老化模板</x:v>
      </x:c>
      <x:c r="E8" s="22" t="str">
        <x:v>SOH/RUL补充分析</x:v>
      </x:c>
      <x:c r="F8" s="22" t="str">
        <x:v>数据规模较大，适合补充，不必作为主模型。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1c788376fd4d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0" hidden="0" customWidth="1"/>
    <x:col min="4" max="4" width="16" hidden="0" customWidth="1"/>
    <x:col min="5" max="5" width="10" hidden="0" customWidth="1"/>
    <x:col min="6" max="6" width="12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6" hidden="0" customWidth="1"/>
    <x:col min="12" max="12" width="20" hidden="0" customWidth="1"/>
    <x:col min="13" max="13" width="12" hidden="0" customWidth="1"/>
    <x:col min="14" max="14" width="45" hidden="0" customWidth="1"/>
  </x:cols>
  <x:sheetData>
    <x:row r="1" ht="28" customHeight="1">
      <x:c r="A1" s="6" t="str">
        <x:v>电池动态数据整理模板</x:v>
      </x:c>
    </x:row>
    <x:row r="2">
      <x:c r="M2" t="str">
        <x:f>IF(AND(ISNUMBER(F2),ISNUMBER(G2)),F2*G2,"")</x:f>
      </x:c>
    </x:row>
    <x:row r="3">
      <x:c r="A3" s="16" t="str">
        <x:v>source_dataset</x:v>
      </x:c>
      <x:c r="B3" s="16" t="str">
        <x:v>cell_id</x:v>
      </x:c>
      <x:c r="C3" s="16" t="str">
        <x:v>cycle_id</x:v>
      </x:c>
      <x:c r="D3" s="16" t="str">
        <x:v>operation_type</x:v>
      </x:c>
      <x:c r="E3" s="16" t="str">
        <x:v>time_s</x:v>
      </x:c>
      <x:c r="F3" s="16" t="str">
        <x:v>current_A</x:v>
      </x:c>
      <x:c r="G3" s="16" t="str">
        <x:v>voltage_V</x:v>
      </x:c>
      <x:c r="H3" s="16" t="str">
        <x:v>temperature_C</x:v>
      </x:c>
      <x:c r="I3" s="16" t="str">
        <x:v>ambient_temp_C</x:v>
      </x:c>
      <x:c r="J3" s="16" t="str">
        <x:v>capacity_Ah</x:v>
      </x:c>
      <x:c r="K3" s="16" t="str">
        <x:v>SOC_reference</x:v>
      </x:c>
      <x:c r="L3" s="16" t="str">
        <x:v>SOC_coulomb_counting</x:v>
      </x:c>
      <x:c r="M3" s="16" t="str">
        <x:f>IF(AND(ISNUMBER(F3),ISNUMBER(G3)),F3*G3,"")</x:f>
      </x:c>
      <x:c r="N3" s="16" t="str">
        <x:v>notes</x:v>
      </x:c>
    </x:row>
    <x:row r="4">
      <x:c r="A4" s="22" t="str">
        <x:v>NASA/CALCE/TU Berlin</x:v>
      </x:c>
      <x:c r="B4" s="22" t="str">
        <x:v>B0005</x:v>
      </x:c>
      <x:c r="C4" s="22" t="n">
        <x:v>1</x:v>
      </x:c>
      <x:c r="D4" s="22" t="str">
        <x:v>discharge</x:v>
      </x:c>
      <x:c r="E4" s="22" t="n">
        <x:v>0</x:v>
      </x:c>
      <x:c r="F4" s="22"/>
      <x:c r="G4" s="22"/>
      <x:c r="H4" s="22"/>
      <x:c r="I4" s="22" t="n">
        <x:v>25</x:v>
      </x:c>
      <x:c r="J4" s="22"/>
      <x:c r="K4" s="22"/>
      <x:c r="L4" s="22"/>
      <x:c r="M4" s="22" t="str">
        <x:f>IF(AND(ISNUMBER(F4),ISNUMBER(G4)),F4*G4,"")</x:f>
      </x:c>
      <x:c r="N4" s="22" t="str">
        <x:v>从公开数据下载后按列填入；power_W为公式列。</x:v>
      </x:c>
    </x:row>
    <x:row r="5">
      <x:c r="A5" s="22" t="str">
        <x:v>NASA/CALCE/TU Berlin</x:v>
      </x:c>
      <x:c r="B5" s="22" t="str">
        <x:v>B0005</x:v>
      </x:c>
      <x:c r="C5" s="22" t="n">
        <x:v>1</x:v>
      </x:c>
      <x:c r="D5" s="22" t="str">
        <x:v>discharge</x:v>
      </x:c>
      <x:c r="E5" s="22" t="n">
        <x:v>10</x:v>
      </x:c>
      <x:c r="F5" s="22"/>
      <x:c r="G5" s="22"/>
      <x:c r="H5" s="22"/>
      <x:c r="I5" s="22" t="n">
        <x:v>25</x:v>
      </x:c>
      <x:c r="J5" s="22"/>
      <x:c r="K5" s="22"/>
      <x:c r="L5" s="22"/>
      <x:c r="M5" s="22"/>
      <x:c r="N5" s="22" t="str"/>
    </x:row>
    <x:row r="6">
      <x:c r="A6" s="22" t="str">
        <x:v>NASA/CALCE/TU Berlin</x:v>
      </x:c>
      <x:c r="B6" s="22" t="str">
        <x:v>B0005</x:v>
      </x:c>
      <x:c r="C6" s="22" t="n">
        <x:v>1</x:v>
      </x:c>
      <x:c r="D6" s="22" t="str">
        <x:v>discharge</x:v>
      </x:c>
      <x:c r="E6" s="22" t="n">
        <x:v>20</x:v>
      </x:c>
      <x:c r="F6" s="22"/>
      <x:c r="G6" s="22"/>
      <x:c r="H6" s="22"/>
      <x:c r="I6" s="22" t="n">
        <x:v>25</x:v>
      </x:c>
      <x:c r="J6" s="22"/>
      <x:c r="K6" s="22"/>
      <x:c r="L6" s="22"/>
      <x:c r="M6" s="22"/>
      <x:c r="N6" s="22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90444e9f52a436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26" hidden="0" customWidth="1"/>
    <x:col min="5" max="5" width="35" hidden="0" customWidth="1"/>
    <x:col min="6" max="6" width="36" hidden="0" customWidth="1"/>
    <x:col min="7" max="7" width="42" hidden="0" customWidth="1"/>
  </x:cols>
  <x:sheetData>
    <x:row r="1" ht="28" customHeight="1">
      <x:c r="A1" s="6" t="str">
        <x:v>Thevenin 2RC 参数整理模板</x:v>
      </x:c>
    </x:row>
    <x:row r="3">
      <x:c r="A3" s="16" t="str">
        <x:v>参数</x:v>
      </x:c>
      <x:c r="B3" s="16" t="str">
        <x:v>符号</x:v>
      </x:c>
      <x:c r="C3" s="16" t="str">
        <x:v>单位</x:v>
      </x:c>
      <x:c r="D3" s="16" t="str">
        <x:v>取值/公式</x:v>
      </x:c>
      <x:c r="E3" s="16" t="str">
        <x:v>来源数据</x:v>
      </x:c>
      <x:c r="F3" s="16" t="str">
        <x:v>用途</x:v>
      </x:c>
      <x:c r="G3" s="16" t="str">
        <x:v>备注</x:v>
      </x:c>
    </x:row>
    <x:row r="4">
      <x:c r="A4" s="22" t="str">
        <x:v>欧姆内阻</x:v>
      </x:c>
      <x:c r="B4" s="22" t="str">
        <x:v>R0</x:v>
      </x:c>
      <x:c r="C4" s="22" t="str">
        <x:v>ohm</x:v>
      </x:c>
      <x:c r="D4" s="22"/>
      <x:c r="E4" s="22" t="str">
        <x:v>HPPC电流阶跃瞬时压降</x:v>
      </x:c>
      <x:c r="F4" s="22" t="str">
        <x:v>Vt=Uoc-I*R0-V1-V2</x:v>
      </x:c>
      <x:c r="G4" s="22" t="str">
        <x:v>可用 ΔV_instant/ΔI 估计。</x:v>
      </x:c>
    </x:row>
    <x:row r="5">
      <x:c r="A5" s="22" t="str">
        <x:v>快速极化电阻</x:v>
      </x:c>
      <x:c r="B5" s="22" t="str">
        <x:v>R1</x:v>
      </x:c>
      <x:c r="C5" s="22" t="str">
        <x:v>ohm</x:v>
      </x:c>
      <x:c r="D5" s="22"/>
      <x:c r="E5" s="22" t="str">
        <x:v>电压恢复曲线/最小二乘拟合</x:v>
      </x:c>
      <x:c r="F5" s="22" t="str">
        <x:v>dV1/dt=-V1/(R1C1)+I/C1</x:v>
      </x:c>
      <x:c r="G5" s="22" t="str">
        <x:v>与C1共同决定tau1。</x:v>
      </x:c>
    </x:row>
    <x:row r="6">
      <x:c r="A6" s="22" t="str">
        <x:v>快速极化电容</x:v>
      </x:c>
      <x:c r="B6" s="22" t="str">
        <x:v>C1</x:v>
      </x:c>
      <x:c r="C6" s="22" t="str">
        <x:v>F</x:v>
      </x:c>
      <x:c r="D6" s="22"/>
      <x:c r="E6" s="22" t="str">
        <x:v>电压恢复曲线/最小二乘拟合</x:v>
      </x:c>
      <x:c r="F6" s="22" t="str">
        <x:v>tau1=R1*C1</x:v>
      </x:c>
      <x:c r="G6" s="22" t="str"/>
    </x:row>
    <x:row r="7">
      <x:c r="A7" s="22" t="str">
        <x:v>慢速极化电阻</x:v>
      </x:c>
      <x:c r="B7" s="22" t="str">
        <x:v>R2</x:v>
      </x:c>
      <x:c r="C7" s="22" t="str">
        <x:v>ohm</x:v>
      </x:c>
      <x:c r="D7" s="22" t="str">
        <x:f>IF(AND(ISNUMBER(D3),ISNUMBER(D4)),D3*D4,"")</x:f>
      </x:c>
      <x:c r="E7" s="22" t="str">
        <x:v>电压恢复曲线/最小二乘拟合</x:v>
      </x:c>
      <x:c r="F7" s="22" t="str">
        <x:v>dV2/dt=-V2/(R2C2)+I/C2</x:v>
      </x:c>
      <x:c r="G7" s="22" t="str">
        <x:v>与C2共同决定tau2。</x:v>
      </x:c>
    </x:row>
    <x:row r="8">
      <x:c r="A8" s="22" t="str">
        <x:v>慢速极化电容</x:v>
      </x:c>
      <x:c r="B8" s="22" t="str">
        <x:v>C2</x:v>
      </x:c>
      <x:c r="C8" s="22" t="str">
        <x:v>F</x:v>
      </x:c>
      <x:c r="D8" s="22" t="str">
        <x:f>IF(AND(ISNUMBER(D5),ISNUMBER(D6)),D5*D6,"")</x:f>
      </x:c>
      <x:c r="E8" s="22" t="str">
        <x:v>电压恢复曲线/最小二乘拟合</x:v>
      </x:c>
      <x:c r="F8" s="22" t="str">
        <x:v>tau2=R2*C2</x:v>
      </x:c>
      <x:c r="G8" s="22" t="str"/>
    </x:row>
    <x:row r="9">
      <x:c r="A9" s="22" t="str">
        <x:v>快速时间常数</x:v>
      </x:c>
      <x:c r="B9" s="22" t="str">
        <x:v>tau1</x:v>
      </x:c>
      <x:c r="C9" s="22" t="str">
        <x:v>s</x:v>
      </x:c>
      <x:c r="D9" s="22" t="str">
        <x:v>' =Uoc - I*R0 - V1 - V2</x:v>
      </x:c>
      <x:c r="E9" s="22" t="str">
        <x:v>由R1,C1计算</x:v>
      </x:c>
      <x:c r="F9" s="22" t="str">
        <x:v>极化响应速度</x:v>
      </x:c>
      <x:c r="G9" s="22" t="str">
        <x:v>填入R1/C1后自动计算。</x:v>
      </x:c>
    </x:row>
    <x:row r="10">
      <x:c r="A10" s="22" t="str">
        <x:v>慢速时间常数</x:v>
      </x:c>
      <x:c r="B10" s="22" t="str">
        <x:v>tau2</x:v>
      </x:c>
      <x:c r="C10" s="22" t="str">
        <x:v>s</x:v>
      </x:c>
      <x:c r="D10" s="22"/>
      <x:c r="E10" s="22" t="str">
        <x:v>由R2,C2计算</x:v>
      </x:c>
      <x:c r="F10" s="22" t="str">
        <x:v>极化响应速度</x:v>
      </x:c>
      <x:c r="G10" s="22" t="str">
        <x:v>填入R2/C2后自动计算。</x:v>
      </x:c>
    </x:row>
    <x:row r="11">
      <x:c r="A11" s="22" t="str">
        <x:v>端电压计算</x:v>
      </x:c>
      <x:c r="B11" s="22" t="str">
        <x:v>Vt</x:v>
      </x:c>
      <x:c r="C11" s="22" t="str">
        <x:v>V</x:v>
      </x:c>
      <x:c r="D11" s="22"/>
      <x:c r="E11" s="22" t="str">
        <x:v>模型公式</x:v>
      </x:c>
      <x:c r="F11" s="22" t="str">
        <x:v>端电压预测</x:v>
      </x:c>
      <x:c r="G11" s="22" t="str">
        <x:v>实际计算放在仿真代码中。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7ca1679b7c24fd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4" hidden="0" customWidth="1"/>
    <x:col min="5" max="5" width="18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38" hidden="0" customWidth="1"/>
  </x:cols>
  <x:sheetData>
    <x:row r="1" ht="28" customHeight="1">
      <x:c r="A1" s="6" t="str">
        <x:v>SOH老化数据整理模板</x:v>
      </x:c>
    </x:row>
    <x:row r="2">
      <x:c r="F2" t="str">
        <x:f>IFERROR(D2/E2,"")</x:f>
      </x:c>
    </x:row>
    <x:row r="3">
      <x:c r="A3" s="16" t="str">
        <x:v>source_dataset</x:v>
      </x:c>
      <x:c r="B3" s="16" t="str">
        <x:v>cell_id</x:v>
      </x:c>
      <x:c r="C3" s="16" t="str">
        <x:v>cycle_index</x:v>
      </x:c>
      <x:c r="D3" s="16" t="str">
        <x:v>capacity_Ah</x:v>
      </x:c>
      <x:c r="E3" s="16" t="str">
        <x:v>nominal_capacity_Ah</x:v>
      </x:c>
      <x:c r="F3" s="16" t="str">
        <x:f>IFERROR(D3/E3,"")</x:f>
      </x:c>
      <x:c r="G3" s="16" t="str">
        <x:v>temperature_C</x:v>
      </x:c>
      <x:c r="H3" s="16" t="str">
        <x:v>C_rate</x:v>
      </x:c>
      <x:c r="I3" s="16" t="str">
        <x:v>SOC_min</x:v>
      </x:c>
      <x:c r="J3" s="16" t="str">
        <x:v>SOC_max</x:v>
      </x:c>
      <x:c r="K3" s="16" t="str">
        <x:v>notes</x:v>
      </x:c>
    </x:row>
    <x:row r="4">
      <x:c r="A4" s="22" t="str">
        <x:v>NASA/Oxford/MIT</x:v>
      </x:c>
      <x:c r="B4" s="22" t="str">
        <x:v>cell_1</x:v>
      </x:c>
      <x:c r="C4" s="22" t="n">
        <x:v>0</x:v>
      </x:c>
      <x:c r="D4" s="22"/>
      <x:c r="E4" s="22"/>
      <x:c r="F4" s="22" t="str">
        <x:f>IFERROR(D4/E4,"")</x:f>
      </x:c>
      <x:c r="G4" s="22"/>
      <x:c r="H4" s="22"/>
      <x:c r="I4" s="22"/>
      <x:c r="J4" s="22"/>
      <x:c r="K4" s="22" t="str">
        <x:v>SOH = capacity_Ah / nominal_capacity_Ah</x:v>
      </x:c>
    </x:row>
    <x:row r="5">
      <x:c r="A5" s="22" t="str">
        <x:v>NASA/Oxford/MIT</x:v>
      </x:c>
      <x:c r="B5" s="22" t="str">
        <x:v>cell_1</x:v>
      </x:c>
      <x:c r="C5" s="22" t="n">
        <x:v>1</x:v>
      </x:c>
      <x:c r="D5" s="22"/>
      <x:c r="E5" s="22"/>
      <x:c r="F5" s="22" t="str">
        <x:f>IFERROR(D3/E3,"")</x:f>
      </x:c>
      <x:c r="G5" s="22"/>
      <x:c r="H5" s="22"/>
      <x:c r="I5" s="22"/>
      <x:c r="J5" s="22"/>
      <x:c r="K5" s="22" t="str"/>
    </x:row>
    <x:row r="6">
      <x:c r="A6" s="22" t="str">
        <x:v>NASA/Oxford/MIT</x:v>
      </x:c>
      <x:c r="B6" s="22" t="str">
        <x:v>cell_1</x:v>
      </x:c>
      <x:c r="C6" s="22" t="n">
        <x:v>2</x:v>
      </x:c>
      <x:c r="D6" s="22"/>
      <x:c r="E6" s="22"/>
      <x:c r="F6" s="22" t="str">
        <x:f>IFERROR(D4/E4,"")</x:f>
      </x:c>
      <x:c r="G6" s="22"/>
      <x:c r="H6" s="22"/>
      <x:c r="I6" s="22"/>
      <x:c r="J6" s="22"/>
      <x:c r="K6" s="22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b571aabd5c04c5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.75" hidden="0" customWidth="1"/>
    <x:col min="3" max="3" width="28" hidden="0" customWidth="1"/>
    <x:col min="4" max="4" width="42" hidden="0" customWidth="1"/>
    <x:col min="6" max="6" width="28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智能手机电池耗电建模数据总览</x:v>
      </x:c>
    </x:row>
    <x:row r="3">
      <x:c r="A3" s="16" t="str">
        <x:v>核心数据表</x:v>
      </x:c>
      <x:c r="B3" s="16" t="str">
        <x:v>已整理行数</x:v>
      </x:c>
      <x:c r="C3" s="16" t="str">
        <x:v>可直接用于</x:v>
      </x:c>
      <x:c r="D3" s="16" t="str">
        <x:v>备注</x:v>
      </x:c>
      <x:c r="F3" s="16" t="str">
        <x:v>场景</x:v>
      </x:c>
      <x:c r="G3" s="16" t="str">
        <x:v>总功率 W</x:v>
      </x:c>
      <x:c r="H3" s="16" t="str">
        <x:v>100%初始SOC TTE h</x:v>
      </x:c>
    </x:row>
    <x:row r="4">
      <x:c r="A4" s="22" t="str">
        <x:v>手机功耗参数</x:v>
      </x:c>
      <x:c r="B4" s="22" t="n">
        <x:v>31</x:v>
      </x:c>
      <x:c r="C4" s="22" t="str">
        <x:v>分项功耗模型</x:v>
      </x:c>
      <x:c r="D4" s="22" t="str">
        <x:v>来源于已上传 power profile 数据</x:v>
      </x:c>
      <x:c r="F4" t="str">
        <x:v>Standby</x:v>
      </x:c>
      <x:c r="G4" s="30" t="n">
        <x:v>0.8600120078649988</x:v>
      </x:c>
      <x:c r="H4" s="30" t="n">
        <x:v>14.397531530680306</x:v>
      </x:c>
    </x:row>
    <x:row r="5">
      <x:c r="A5" s="22" t="str">
        <x:v>场景输入与功耗</x:v>
      </x:c>
      <x:c r="B5" s="22" t="n">
        <x:v>7</x:v>
      </x:c>
      <x:c r="C5" s="22" t="str">
        <x:v>场景设定/P_load</x:v>
      </x:c>
      <x:c r="D5" s="22" t="str">
        <x:v>可直接生成场景TTE</x:v>
      </x:c>
      <x:c r="F5" t="str">
        <x:v>Light daily use</x:v>
      </x:c>
      <x:c r="G5" s="30" t="n">
        <x:v>2.0583802129199897</x:v>
      </x:c>
      <x:c r="H5" s="30" t="n">
        <x:v>6.015433845642635</x:v>
      </x:c>
    </x:row>
    <x:row r="6">
      <x:c r="A6" s="22" t="str">
        <x:v>TTE基准结果</x:v>
      </x:c>
      <x:c r="B6" s="22" t="n">
        <x:v>28</x:v>
      </x:c>
      <x:c r="C6" s="22" t="str">
        <x:v>基准TTE预测</x:v>
      </x:c>
      <x:c r="D6" s="22" t="str">
        <x:v>不作为独立实测验证</x:v>
      </x:c>
      <x:c r="F6" t="str">
        <x:v>Video streaming (Wi-Fi)</x:v>
      </x:c>
      <x:c r="G6" s="30" t="n">
        <x:v>2.469966200890184</x:v>
      </x:c>
      <x:c r="H6" s="30" t="n">
        <x:v>5.013044306248996</x:v>
      </x:c>
    </x:row>
    <x:row r="7">
      <x:c r="A7" s="22" t="str">
        <x:v>敏感性分析</x:v>
      </x:c>
      <x:c r="B7" s="22" t="n">
        <x:v>8</x:v>
      </x:c>
      <x:c r="C7" s="22" t="str">
        <x:v>因素影响排序</x:v>
      </x:c>
      <x:c r="D7" s="22" t="str">
        <x:v>可直接用于论文结果分析</x:v>
      </x:c>
      <x:c r="F7" t="str">
        <x:v>Mobile game</x:v>
      </x:c>
      <x:c r="G7" s="30" t="n">
        <x:v>3.0268236846438743</x:v>
      </x:c>
      <x:c r="H7" s="30" t="n">
        <x:v>4.090773460911659</x:v>
      </x:c>
    </x:row>
    <x:row r="8">
      <x:c r="A8" s="22" t="str">
        <x:v>外部数据源</x:v>
      </x:c>
      <x:c r="B8" s="22" t="n">
        <x:v>8</x:v>
      </x:c>
      <x:c r="C8" s="22" t="str">
        <x:v>2RC/热/SOH补充</x:v>
      </x:c>
      <x:c r="D8" s="22" t="str">
        <x:v>需按计划下载原始数据</x:v>
      </x:c>
      <x:c r="F8" t="str">
        <x:v>Navigation</x:v>
      </x:c>
      <x:c r="G8" s="30" t="n">
        <x:v>2.6000508623549665</x:v>
      </x:c>
      <x:c r="H8" s="30" t="n">
        <x:v>4.762233762144598</x:v>
      </x:c>
    </x:row>
    <x:row r="9">
      <x:c r="F9" t="str">
        <x:v>Weak-signal social/video</x:v>
      </x:c>
      <x:c r="G9" s="30" t="n">
        <x:v>2.3953243707018594</x:v>
      </x:c>
      <x:c r="H9" s="30" t="n">
        <x:v>5.169258139502796</x:v>
      </x:c>
    </x:row>
    <x:row r="10">
      <x:c r="F10" t="str">
        <x:v>Cold aged light use</x:v>
      </x:c>
      <x:c r="G10" s="30" t="n">
        <x:v>2.0583802129199897</x:v>
      </x:c>
      <x:c r="H10" s="30" t="n">
        <x:v>4.493529082695048</x:v>
      </x:c>
    </x:row>
    <x:row r="11">
      <x:c r="G11" s="30"/>
      <x:c r="H11" s="30"/>
    </x:row>
    <x:row r="12">
      <x:c r="G12" s="30"/>
      <x:c r="H12" s="30"/>
    </x:row>
    <x:row r="13">
      <x:c r="G13" s="30"/>
      <x:c r="H13" s="30"/>
    </x:row>
    <x:row r="14">
      <x:c r="G14" s="30"/>
      <x:c r="H14" s="30"/>
    </x:row>
    <x:row r="15">
      <x:c r="G15" s="30"/>
      <x:c r="H15" s="30"/>
    </x:row>
    <x:row r="16">
      <x:c r="G16" s="30"/>
      <x:c r="H16" s="30"/>
    </x:row>
    <x:row r="17">
      <x:c r="G17" s="30"/>
      <x:c r="H17" s="30"/>
    </x:row>
    <x:row r="18">
      <x:c r="G18" s="30"/>
      <x:c r="H18" s="30"/>
    </x:row>
    <x:row r="19">
      <x:c r="G19" s="30"/>
      <x:c r="H19" s="30"/>
    </x:row>
    <x:row r="20">
      <x:c r="G20" s="30"/>
      <x:c r="H20" s="30"/>
    </x:row>
    <x:row r="29">
      <x:c r="A29" s="34" t="str">
        <x:v>使用说明：04—07表可直接支撑手机功耗与基准TTE；09—11表用于下载NASA/CALCE/TU Berlin/Oxford等公开数据后继续补充电池动态、2RC参数和SOH老化数据。</x:v>
      </x:c>
    </x:row>
  </x:sheetData>
  <x:mergeCells>
    <x:mergeCell ref="A1:H1"/>
    <x:mergeCell ref="A29:H31"/>
  </x:mergeCells>
  <x:pageMargins left="0.7" right="0.7" top="0.75" bottom="0.75" header="0.3" footer="0.3"/>
  <x:drawing xmlns:r="http://schemas.openxmlformats.org/officeDocument/2006/relationships" r:id="R10613c47523b4510"/>
</x:worksheet>
</file>